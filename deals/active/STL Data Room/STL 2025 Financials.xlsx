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ner/Documents/Pers/Aditi/Finance/Past Financials/"/>
    </mc:Choice>
  </mc:AlternateContent>
  <xr:revisionPtr revIDLastSave="0" documentId="13_ncr:1_{E5AAEB69-DCCC-174C-8BCE-217D143BF6E2}" xr6:coauthVersionLast="47" xr6:coauthVersionMax="47" xr10:uidLastSave="{00000000-0000-0000-0000-000000000000}"/>
  <bookViews>
    <workbookView xWindow="-37280" yWindow="500" windowWidth="29400" windowHeight="17200" xr2:uid="{46FB0914-859A-4236-9718-37060DB5A505}"/>
  </bookViews>
  <sheets>
    <sheet name="2025 P&amp;L" sheetId="4" r:id="rId1"/>
    <sheet name="2025 Balance Sheet" sheetId="1" r:id="rId2"/>
    <sheet name="2025 CashFlowStmt by Year" sheetId="9" r:id="rId3"/>
    <sheet name="CashFlow Q1-2025" sheetId="5" state="hidden" r:id="rId4"/>
    <sheet name="CashFlow Q2-2025" sheetId="6" state="hidden" r:id="rId5"/>
    <sheet name="CashFlow Q3-2025" sheetId="7" state="hidden" r:id="rId6"/>
    <sheet name="CashFlow Q4-2025" sheetId="8" state="hidden" r:id="rId7"/>
  </sheets>
  <definedNames>
    <definedName name="_xlnm.Print_Titles" localSheetId="1">'2025 Balance Sheet'!$A:$F,'2025 Balance Sheet'!$1:$1</definedName>
    <definedName name="_xlnm.Print_Titles" localSheetId="2">'2025 CashFlowStmt by Year'!$A:$E,'2025 CashFlowStmt by Year'!$1:$1</definedName>
    <definedName name="_xlnm.Print_Titles" localSheetId="0">'2025 P&amp;L'!$A:$E,'2025 P&amp;L'!$1:$1</definedName>
    <definedName name="_xlnm.Print_Titles" localSheetId="3">'CashFlow Q1-2025'!$A:$E,'CashFlow Q1-2025'!$1:$1</definedName>
    <definedName name="_xlnm.Print_Titles" localSheetId="4">'CashFlow Q2-2025'!$A:$E,'CashFlow Q2-2025'!$1:$1</definedName>
    <definedName name="_xlnm.Print_Titles" localSheetId="5">'CashFlow Q3-2025'!$A:$E,'CashFlow Q3-2025'!$1:$1</definedName>
    <definedName name="_xlnm.Print_Titles" localSheetId="6">'CashFlow Q4-2025'!$A:$E,'CashFlow Q4-2025'!$1:$1</definedName>
    <definedName name="QB_COLUMN_29" localSheetId="2" hidden="1">'2025 CashFlowStmt by Year'!$F$1</definedName>
    <definedName name="QB_COLUMN_29" localSheetId="3" hidden="1">'CashFlow Q1-2025'!$F$1</definedName>
    <definedName name="QB_COLUMN_29" localSheetId="4" hidden="1">'CashFlow Q2-2025'!$F$1</definedName>
    <definedName name="QB_COLUMN_29" localSheetId="5" hidden="1">'CashFlow Q3-2025'!$F$1</definedName>
    <definedName name="QB_COLUMN_29" localSheetId="6" hidden="1">'CashFlow Q4-2025'!$F$1</definedName>
    <definedName name="QB_COLUMN_2920" localSheetId="1" hidden="1">'2025 Balance Sheet'!$G$1</definedName>
    <definedName name="QB_COLUMN_2921" localSheetId="1" hidden="1">'2025 Balance Sheet'!$I$1</definedName>
    <definedName name="QB_COLUMN_2921" localSheetId="0" hidden="1">'2025 P&amp;L'!$F$1</definedName>
    <definedName name="QB_COLUMN_2922" localSheetId="1" hidden="1">'2025 Balance Sheet'!$K$1</definedName>
    <definedName name="QB_COLUMN_2922" localSheetId="0" hidden="1">'2025 P&amp;L'!$H$1</definedName>
    <definedName name="QB_COLUMN_2923" localSheetId="1" hidden="1">'2025 Balance Sheet'!$M$1</definedName>
    <definedName name="QB_COLUMN_2923" localSheetId="0" hidden="1">'2025 P&amp;L'!$J$1</definedName>
    <definedName name="QB_COLUMN_2924" localSheetId="0" hidden="1">'2025 P&amp;L'!$L$1</definedName>
    <definedName name="QB_COLUMN_2930" localSheetId="0" hidden="1">'2025 P&amp;L'!$N$1</definedName>
    <definedName name="QB_DATA_0" localSheetId="1" hidden="1">'2025 Balance Sheet'!$5:$5,'2025 Balance Sheet'!$6:$6,'2025 Balance Sheet'!$7:$7,'2025 Balance Sheet'!$8:$8,'2025 Balance Sheet'!$11:$11,'2025 Balance Sheet'!$12:$12,'2025 Balance Sheet'!$13:$13,'2025 Balance Sheet'!$14:$14,'2025 Balance Sheet'!$18:$18,'2025 Balance Sheet'!$19:$19,'2025 Balance Sheet'!$23:$23,'2025 Balance Sheet'!$24:$24,'2025 Balance Sheet'!$25:$25,'2025 Balance Sheet'!$26:$26,'2025 Balance Sheet'!$28:$28,'2025 Balance Sheet'!$35:$35</definedName>
    <definedName name="QB_DATA_0" localSheetId="2" hidden="1">'2025 CashFlowStmt by Year'!$3:$3,'2025 CashFlowStmt by Year'!$6:$6,'2025 CashFlowStmt by Year'!$7:$7,'2025 CashFlowStmt by Year'!$8:$8,'2025 CashFlowStmt by Year'!$9:$9,'2025 CashFlowStmt by Year'!$10:$10,'2025 CashFlowStmt by Year'!$11:$11,'2025 CashFlowStmt by Year'!$12:$12,'2025 CashFlowStmt by Year'!$13:$13,'2025 CashFlowStmt by Year'!$14:$14,'2025 CashFlowStmt by Year'!$15:$15,'2025 CashFlowStmt by Year'!$16:$16,'2025 CashFlowStmt by Year'!$17:$17,'2025 CashFlowStmt by Year'!$20:$20,'2025 CashFlowStmt by Year'!$23:$23,'2025 CashFlowStmt by Year'!$24:$24</definedName>
    <definedName name="QB_DATA_0" localSheetId="0" hidden="1">'2025 P&amp;L'!$4:$4,'2025 P&amp;L'!$5:$5,'2025 P&amp;L'!$8:$8,'2025 P&amp;L'!$9:$9,'2025 P&amp;L'!$10:$10,'2025 P&amp;L'!$11:$11,'2025 P&amp;L'!$13:$13,'2025 P&amp;L'!$14:$14,'2025 P&amp;L'!$16:$16,'2025 P&amp;L'!$17:$17,'2025 P&amp;L'!$18:$18,'2025 P&amp;L'!$19:$19,'2025 P&amp;L'!$20:$20,'2025 P&amp;L'!$21:$21,'2025 P&amp;L'!$22:$22,'2025 P&amp;L'!$23:$23</definedName>
    <definedName name="QB_DATA_0" localSheetId="3" hidden="1">'CashFlow Q1-2025'!$3:$3,'CashFlow Q1-2025'!$6:$6,'CashFlow Q1-2025'!$7:$7,'CashFlow Q1-2025'!$8:$8,'CashFlow Q1-2025'!$9:$9,'CashFlow Q1-2025'!$10:$10,'CashFlow Q1-2025'!$11:$11,'CashFlow Q1-2025'!$12:$12,'CashFlow Q1-2025'!$15:$15,'CashFlow Q1-2025'!$18:$18,'CashFlow Q1-2025'!$19:$19,'CashFlow Q1-2025'!$22:$22</definedName>
    <definedName name="QB_DATA_0" localSheetId="4" hidden="1">'CashFlow Q2-2025'!$3:$3,'CashFlow Q2-2025'!$6:$6,'CashFlow Q2-2025'!$7:$7,'CashFlow Q2-2025'!$8:$8,'CashFlow Q2-2025'!$9:$9,'CashFlow Q2-2025'!$10:$10,'CashFlow Q2-2025'!$11:$11,'CashFlow Q2-2025'!$12:$12,'CashFlow Q2-2025'!$13:$13,'CashFlow Q2-2025'!$14:$14,'CashFlow Q2-2025'!$15:$15,'CashFlow Q2-2025'!$16:$16,'CashFlow Q2-2025'!$17:$17,'CashFlow Q2-2025'!$20:$20,'CashFlow Q2-2025'!$23:$23,'CashFlow Q2-2025'!$24:$24</definedName>
    <definedName name="QB_DATA_0" localSheetId="5" hidden="1">'CashFlow Q3-2025'!$3:$3,'CashFlow Q3-2025'!$6:$6,'CashFlow Q3-2025'!$7:$7,'CashFlow Q3-2025'!$8:$8,'CashFlow Q3-2025'!$9:$9,'CashFlow Q3-2025'!$10:$10,'CashFlow Q3-2025'!$13:$13,'CashFlow Q3-2025'!$16:$16,'CashFlow Q3-2025'!$17:$17,'CashFlow Q3-2025'!$18:$18,'CashFlow Q3-2025'!$21:$21</definedName>
    <definedName name="QB_DATA_0" localSheetId="6" hidden="1">'CashFlow Q4-2025'!$3:$3,'CashFlow Q4-2025'!$6:$6,'CashFlow Q4-2025'!$7:$7,'CashFlow Q4-2025'!$8:$8,'CashFlow Q4-2025'!$9:$9,'CashFlow Q4-2025'!$10:$10,'CashFlow Q4-2025'!$11:$11,'CashFlow Q4-2025'!$12:$12,'CashFlow Q4-2025'!$15:$15,'CashFlow Q4-2025'!$18:$18,'CashFlow Q4-2025'!$19:$19,'CashFlow Q4-2025'!$20:$20,'CashFlow Q4-2025'!$21:$21,'CashFlow Q4-2025'!$22:$22,'CashFlow Q4-2025'!$25:$25</definedName>
    <definedName name="QB_DATA_1" localSheetId="1" hidden="1">'2025 Balance Sheet'!$39:$39,'2025 Balance Sheet'!$40:$40,'2025 Balance Sheet'!$41:$41,'2025 Balance Sheet'!$42:$42,'2025 Balance Sheet'!$43:$43,'2025 Balance Sheet'!$46:$46,'2025 Balance Sheet'!$47:$47,'2025 Balance Sheet'!$48:$48,'2025 Balance Sheet'!$49:$49,'2025 Balance Sheet'!$50:$50,'2025 Balance Sheet'!$51:$51,'2025 Balance Sheet'!$55:$55,'2025 Balance Sheet'!$56:$56,'2025 Balance Sheet'!$57:$57,'2025 Balance Sheet'!$58:$58,'2025 Balance Sheet'!$59:$59</definedName>
    <definedName name="QB_DATA_1" localSheetId="2" hidden="1">'2025 CashFlowStmt by Year'!$25:$25,'2025 CashFlowStmt by Year'!$26:$26,'2025 CashFlowStmt by Year'!$27:$27,'2025 CashFlowStmt by Year'!$28:$28,'2025 CashFlowStmt by Year'!$29:$29,'2025 CashFlowStmt by Year'!$32:$32</definedName>
    <definedName name="QB_DATA_1" localSheetId="0" hidden="1">'2025 P&amp;L'!$24:$24,'2025 P&amp;L'!#REF!,'2025 P&amp;L'!$26:$26,'2025 P&amp;L'!$27:$27,'2025 P&amp;L'!$29:$29,'2025 P&amp;L'!$30:$30,'2025 P&amp;L'!$31:$31,'2025 P&amp;L'!$33:$33,'2025 P&amp;L'!$34:$34,'2025 P&amp;L'!$36:$36,'2025 P&amp;L'!$37:$37,'2025 P&amp;L'!$38:$38,'2025 P&amp;L'!$39:$39,'2025 P&amp;L'!$40:$40,'2025 P&amp;L'!$42:$42,'2025 P&amp;L'!$43:$43</definedName>
    <definedName name="QB_DATA_1" localSheetId="4" hidden="1">'CashFlow Q2-2025'!$25:$25,'CashFlow Q2-2025'!$26:$26,'CashFlow Q2-2025'!$29:$29</definedName>
    <definedName name="QB_DATA_2" localSheetId="1" hidden="1">'2025 Balance Sheet'!$63:$63,'2025 Balance Sheet'!$64:$64,'2025 Balance Sheet'!$65:$65,'2025 Balance Sheet'!$69:$69,'2025 Balance Sheet'!$70:$70,'2025 Balance Sheet'!$71:$71,'2025 Balance Sheet'!$72:$72,'2025 Balance Sheet'!$73:$73,'2025 Balance Sheet'!$74:$74</definedName>
    <definedName name="QB_DATA_2" localSheetId="0" hidden="1">'2025 P&amp;L'!$45:$45,'2025 P&amp;L'!$46:$46,'2025 P&amp;L'!$48:$48,'2025 P&amp;L'!$49:$49,'2025 P&amp;L'!$50:$50,'2025 P&amp;L'!$51:$51,'2025 P&amp;L'!#REF!,'2025 P&amp;L'!$53:$53,'2025 P&amp;L'!$54:$54,'2025 P&amp;L'!$56:$56,'2025 P&amp;L'!$57:$57,'2025 P&amp;L'!$58:$58,'2025 P&amp;L'!$59:$59,'2025 P&amp;L'!$60:$60,'2025 P&amp;L'!$66:$66,'2025 P&amp;L'!$67:$67</definedName>
    <definedName name="QB_DATA_3" localSheetId="0" hidden="1">'2025 P&amp;L'!$70:$70</definedName>
    <definedName name="QB_FORMULA_0" localSheetId="1" hidden="1">'2025 Balance Sheet'!$G$9,'2025 Balance Sheet'!$I$9,'2025 Balance Sheet'!$K$9,'2025 Balance Sheet'!$M$9,'2025 Balance Sheet'!$G$15,'2025 Balance Sheet'!$I$15,'2025 Balance Sheet'!$K$15,'2025 Balance Sheet'!$M$15,'2025 Balance Sheet'!$G$16,'2025 Balance Sheet'!$I$16,'2025 Balance Sheet'!$K$16,'2025 Balance Sheet'!$M$16,'2025 Balance Sheet'!$G$20,'2025 Balance Sheet'!$I$20,'2025 Balance Sheet'!$K$20,'2025 Balance Sheet'!$M$20</definedName>
    <definedName name="QB_FORMULA_0" localSheetId="2" hidden="1">'2025 CashFlowStmt by Year'!$F$18,'2025 CashFlowStmt by Year'!$F$21,'2025 CashFlowStmt by Year'!$F$30,'2025 CashFlowStmt by Year'!$F$31,'2025 CashFlowStmt by Year'!$F$33</definedName>
    <definedName name="QB_FORMULA_0" localSheetId="0" hidden="1">'2025 P&amp;L'!$N$4,'2025 P&amp;L'!$N$5,'2025 P&amp;L'!$F$6,'2025 P&amp;L'!$H$6,'2025 P&amp;L'!$J$6,'2025 P&amp;L'!$L$6,'2025 P&amp;L'!$N$6,'2025 P&amp;L'!$N$8,'2025 P&amp;L'!$N$9,'2025 P&amp;L'!$N$10,'2025 P&amp;L'!$N$11,'2025 P&amp;L'!$N$13,'2025 P&amp;L'!$N$14,'2025 P&amp;L'!$F$15,'2025 P&amp;L'!$H$15,'2025 P&amp;L'!$J$15</definedName>
    <definedName name="QB_FORMULA_0" localSheetId="3" hidden="1">'CashFlow Q1-2025'!$F$13,'CashFlow Q1-2025'!$F$16,'CashFlow Q1-2025'!$F$20,'CashFlow Q1-2025'!$F$21,'CashFlow Q1-2025'!$F$23</definedName>
    <definedName name="QB_FORMULA_0" localSheetId="4" hidden="1">'CashFlow Q2-2025'!$F$18,'CashFlow Q2-2025'!$F$21,'CashFlow Q2-2025'!$F$27,'CashFlow Q2-2025'!$F$28,'CashFlow Q2-2025'!$F$30</definedName>
    <definedName name="QB_FORMULA_0" localSheetId="5" hidden="1">'CashFlow Q3-2025'!$F$11,'CashFlow Q3-2025'!$F$14,'CashFlow Q3-2025'!$F$19,'CashFlow Q3-2025'!$F$20,'CashFlow Q3-2025'!$F$22</definedName>
    <definedName name="QB_FORMULA_0" localSheetId="6" hidden="1">'CashFlow Q4-2025'!$F$13,'CashFlow Q4-2025'!$F$16,'CashFlow Q4-2025'!$F$23,'CashFlow Q4-2025'!$F$24,'CashFlow Q4-2025'!$F$26</definedName>
    <definedName name="QB_FORMULA_1" localSheetId="1" hidden="1">'2025 Balance Sheet'!$G$27,'2025 Balance Sheet'!$I$27,'2025 Balance Sheet'!$K$27,'2025 Balance Sheet'!$M$27,'2025 Balance Sheet'!$G$29,'2025 Balance Sheet'!$I$29,'2025 Balance Sheet'!$K$29,'2025 Balance Sheet'!$M$29,'2025 Balance Sheet'!$G$30,'2025 Balance Sheet'!$I$30,'2025 Balance Sheet'!$K$30,'2025 Balance Sheet'!$M$30,'2025 Balance Sheet'!$G$36,'2025 Balance Sheet'!$I$36,'2025 Balance Sheet'!$K$36,'2025 Balance Sheet'!$M$36</definedName>
    <definedName name="QB_FORMULA_1" localSheetId="0" hidden="1">'2025 P&amp;L'!$L$15,'2025 P&amp;L'!$N$15,'2025 P&amp;L'!$N$16,'2025 P&amp;L'!$N$17,'2025 P&amp;L'!$N$18,'2025 P&amp;L'!$N$19,'2025 P&amp;L'!$N$20,'2025 P&amp;L'!$N$21,'2025 P&amp;L'!$N$22,'2025 P&amp;L'!$N$23,'2025 P&amp;L'!$N$24,'2025 P&amp;L'!#REF!,'2025 P&amp;L'!$N$26,'2025 P&amp;L'!$N$27,'2025 P&amp;L'!$F$28,'2025 P&amp;L'!$H$28</definedName>
    <definedName name="QB_FORMULA_2" localSheetId="1" hidden="1">'2025 Balance Sheet'!$G$44,'2025 Balance Sheet'!$I$44,'2025 Balance Sheet'!$K$44,'2025 Balance Sheet'!$M$44,'2025 Balance Sheet'!$G$52,'2025 Balance Sheet'!$I$52,'2025 Balance Sheet'!$K$52,'2025 Balance Sheet'!$M$52,'2025 Balance Sheet'!$G$53,'2025 Balance Sheet'!$I$53,'2025 Balance Sheet'!$K$53,'2025 Balance Sheet'!$M$53,'2025 Balance Sheet'!$G$60,'2025 Balance Sheet'!$I$60,'2025 Balance Sheet'!$K$60,'2025 Balance Sheet'!$M$60</definedName>
    <definedName name="QB_FORMULA_2" localSheetId="0" hidden="1">'2025 P&amp;L'!$J$28,'2025 P&amp;L'!$L$28,'2025 P&amp;L'!$N$28,'2025 P&amp;L'!$N$29,'2025 P&amp;L'!$N$30,'2025 P&amp;L'!$N$31,'2025 P&amp;L'!$N$33,'2025 P&amp;L'!$N$34,'2025 P&amp;L'!$F$35,'2025 P&amp;L'!$H$35,'2025 P&amp;L'!$J$35,'2025 P&amp;L'!$L$35,'2025 P&amp;L'!$N$35,'2025 P&amp;L'!$N$36,'2025 P&amp;L'!$N$37,'2025 P&amp;L'!$N$38</definedName>
    <definedName name="QB_FORMULA_3" localSheetId="1" hidden="1">'2025 Balance Sheet'!$G$61,'2025 Balance Sheet'!$I$61,'2025 Balance Sheet'!$K$61,'2025 Balance Sheet'!$M$61,'2025 Balance Sheet'!$G$66,'2025 Balance Sheet'!$I$66,'2025 Balance Sheet'!$K$66,'2025 Balance Sheet'!$M$66,'2025 Balance Sheet'!$G$67,'2025 Balance Sheet'!$I$67,'2025 Balance Sheet'!$K$67,'2025 Balance Sheet'!$M$67,'2025 Balance Sheet'!$G$75,'2025 Balance Sheet'!$I$75,'2025 Balance Sheet'!$K$75,'2025 Balance Sheet'!$M$75</definedName>
    <definedName name="QB_FORMULA_3" localSheetId="0" hidden="1">'2025 P&amp;L'!$N$39,'2025 P&amp;L'!$N$40,'2025 P&amp;L'!$N$42,'2025 P&amp;L'!$N$43,'2025 P&amp;L'!$F$44,'2025 P&amp;L'!$H$44,'2025 P&amp;L'!$J$44,'2025 P&amp;L'!$L$44,'2025 P&amp;L'!$N$44,'2025 P&amp;L'!$N$45,'2025 P&amp;L'!$N$46,'2025 P&amp;L'!$N$48,'2025 P&amp;L'!$N$49,'2025 P&amp;L'!$N$50,'2025 P&amp;L'!$N$51,'2025 P&amp;L'!#REF!</definedName>
    <definedName name="QB_FORMULA_4" localSheetId="1" hidden="1">'2025 Balance Sheet'!$G$76,'2025 Balance Sheet'!$I$76,'2025 Balance Sheet'!$K$76,'2025 Balance Sheet'!$M$76</definedName>
    <definedName name="QB_FORMULA_4" localSheetId="0" hidden="1">'2025 P&amp;L'!$F$52,'2025 P&amp;L'!$H$52,'2025 P&amp;L'!$J$52,'2025 P&amp;L'!$L$52,'2025 P&amp;L'!$N$52,'2025 P&amp;L'!$N$53,'2025 P&amp;L'!$N$54,'2025 P&amp;L'!$N$56,'2025 P&amp;L'!$N$57,'2025 P&amp;L'!$N$58,'2025 P&amp;L'!$N$59,'2025 P&amp;L'!$N$60,'2025 P&amp;L'!$F$61,'2025 P&amp;L'!$H$61,'2025 P&amp;L'!$J$61,'2025 P&amp;L'!$L$61</definedName>
    <definedName name="QB_FORMULA_5" localSheetId="0" hidden="1">'2025 P&amp;L'!$N$61,'2025 P&amp;L'!$F$62,'2025 P&amp;L'!$H$62,'2025 P&amp;L'!$J$62,'2025 P&amp;L'!$L$62,'2025 P&amp;L'!$N$62,'2025 P&amp;L'!$F$63,'2025 P&amp;L'!$H$63,'2025 P&amp;L'!$J$63,'2025 P&amp;L'!$L$63,'2025 P&amp;L'!$N$63,'2025 P&amp;L'!$N$66,'2025 P&amp;L'!$N$67,'2025 P&amp;L'!$F$68,'2025 P&amp;L'!$H$68,'2025 P&amp;L'!$J$68</definedName>
    <definedName name="QB_FORMULA_6" localSheetId="0" hidden="1">'2025 P&amp;L'!$L$68,'2025 P&amp;L'!$N$68,'2025 P&amp;L'!$N$70,'2025 P&amp;L'!$F$71,'2025 P&amp;L'!$H$71,'2025 P&amp;L'!$J$71,'2025 P&amp;L'!$L$71,'2025 P&amp;L'!$N$71,'2025 P&amp;L'!$F$72,'2025 P&amp;L'!$H$72,'2025 P&amp;L'!$J$72,'2025 P&amp;L'!$L$72,'2025 P&amp;L'!$N$72,'2025 P&amp;L'!$F$73,'2025 P&amp;L'!$H$73,'2025 P&amp;L'!$J$73</definedName>
    <definedName name="QB_FORMULA_7" localSheetId="0" hidden="1">'2025 P&amp;L'!$L$73,'2025 P&amp;L'!$N$73</definedName>
    <definedName name="QB_ROW_1" localSheetId="1" hidden="1">'2025 Balance Sheet'!$A$2</definedName>
    <definedName name="QB_ROW_100220" localSheetId="1" hidden="1">'2025 Balance Sheet'!$C$71</definedName>
    <definedName name="QB_ROW_100230" localSheetId="2" hidden="1">'2025 CashFlowStmt by Year'!$D$26</definedName>
    <definedName name="QB_ROW_100230" localSheetId="3" hidden="1">'CashFlow Q1-2025'!$D$19</definedName>
    <definedName name="QB_ROW_100230" localSheetId="4" hidden="1">'CashFlow Q2-2025'!$D$25</definedName>
    <definedName name="QB_ROW_100230" localSheetId="5" hidden="1">'CashFlow Q3-2025'!$D$18</definedName>
    <definedName name="QB_ROW_100230" localSheetId="6" hidden="1">'CashFlow Q4-2025'!$D$20</definedName>
    <definedName name="QB_ROW_10031" localSheetId="1" hidden="1">'2025 Balance Sheet'!$D$34</definedName>
    <definedName name="QB_ROW_101040" localSheetId="1" hidden="1">'2025 Balance Sheet'!$E$38</definedName>
    <definedName name="QB_ROW_1011" localSheetId="1" hidden="1">'2025 Balance Sheet'!$B$3</definedName>
    <definedName name="QB_ROW_101240" localSheetId="2" hidden="1">'2025 CashFlowStmt by Year'!$E$10</definedName>
    <definedName name="QB_ROW_101240" localSheetId="3" hidden="1">'CashFlow Q1-2025'!$E$7</definedName>
    <definedName name="QB_ROW_101240" localSheetId="4" hidden="1">'CashFlow Q2-2025'!$E$11</definedName>
    <definedName name="QB_ROW_101240" localSheetId="5" hidden="1">'CashFlow Q3-2025'!$E$6</definedName>
    <definedName name="QB_ROW_101240" localSheetId="6" hidden="1">'CashFlow Q4-2025'!$E$6</definedName>
    <definedName name="QB_ROW_101250" localSheetId="1" hidden="1">'2025 Balance Sheet'!$F$43</definedName>
    <definedName name="QB_ROW_101340" localSheetId="1" hidden="1">'2025 Balance Sheet'!$E$44</definedName>
    <definedName name="QB_ROW_102240" localSheetId="2" hidden="1">'2025 CashFlowStmt by Year'!$E$14</definedName>
    <definedName name="QB_ROW_102240" localSheetId="3" hidden="1">'CashFlow Q1-2025'!$E$11</definedName>
    <definedName name="QB_ROW_102240" localSheetId="4" hidden="1">'CashFlow Q2-2025'!$E$15</definedName>
    <definedName name="QB_ROW_102240" localSheetId="5" hidden="1">'CashFlow Q3-2025'!$E$10</definedName>
    <definedName name="QB_ROW_102240" localSheetId="6" hidden="1">'CashFlow Q4-2025'!$E$10</definedName>
    <definedName name="QB_ROW_102250" localSheetId="1" hidden="1">'2025 Balance Sheet'!$F$41</definedName>
    <definedName name="QB_ROW_103240" localSheetId="2" hidden="1">'2025 CashFlowStmt by Year'!$E$11</definedName>
    <definedName name="QB_ROW_103240" localSheetId="3" hidden="1">'CashFlow Q1-2025'!$E$8</definedName>
    <definedName name="QB_ROW_103240" localSheetId="4" hidden="1">'CashFlow Q2-2025'!$E$12</definedName>
    <definedName name="QB_ROW_103240" localSheetId="5" hidden="1">'CashFlow Q3-2025'!$E$7</definedName>
    <definedName name="QB_ROW_103240" localSheetId="6" hidden="1">'CashFlow Q4-2025'!$E$7</definedName>
    <definedName name="QB_ROW_103250" localSheetId="1" hidden="1">'2025 Balance Sheet'!$F$40</definedName>
    <definedName name="QB_ROW_10331" localSheetId="1" hidden="1">'2025 Balance Sheet'!$D$36</definedName>
    <definedName name="QB_ROW_104240" localSheetId="2" hidden="1">'2025 CashFlowStmt by Year'!$E$13</definedName>
    <definedName name="QB_ROW_104240" localSheetId="3" hidden="1">'CashFlow Q1-2025'!$E$10</definedName>
    <definedName name="QB_ROW_104240" localSheetId="4" hidden="1">'CashFlow Q2-2025'!$E$14</definedName>
    <definedName name="QB_ROW_104240" localSheetId="5" hidden="1">'CashFlow Q3-2025'!$E$9</definedName>
    <definedName name="QB_ROW_104240" localSheetId="6" hidden="1">'CashFlow Q4-2025'!$E$9</definedName>
    <definedName name="QB_ROW_104250" localSheetId="1" hidden="1">'2025 Balance Sheet'!$F$39</definedName>
    <definedName name="QB_ROW_105230" localSheetId="0" hidden="1">'2025 P&amp;L'!$D$67</definedName>
    <definedName name="QB_ROW_106240" localSheetId="2" hidden="1">'2025 CashFlowStmt by Year'!$E$12</definedName>
    <definedName name="QB_ROW_106240" localSheetId="3" hidden="1">'CashFlow Q1-2025'!$E$9</definedName>
    <definedName name="QB_ROW_106240" localSheetId="4" hidden="1">'CashFlow Q2-2025'!$E$13</definedName>
    <definedName name="QB_ROW_106240" localSheetId="5" hidden="1">'CashFlow Q3-2025'!$E$8</definedName>
    <definedName name="QB_ROW_106240" localSheetId="6" hidden="1">'CashFlow Q4-2025'!$E$8</definedName>
    <definedName name="QB_ROW_106250" localSheetId="1" hidden="1">'2025 Balance Sheet'!$F$42</definedName>
    <definedName name="QB_ROW_107230" localSheetId="1" hidden="1">'2025 Balance Sheet'!$D$8</definedName>
    <definedName name="QB_ROW_110240" localSheetId="1" hidden="1">'2025 Balance Sheet'!$E$56</definedName>
    <definedName name="QB_ROW_110240" localSheetId="2" hidden="1">'2025 CashFlowStmt by Year'!$E$15</definedName>
    <definedName name="QB_ROW_110240" localSheetId="4" hidden="1">'CashFlow Q2-2025'!$E$16</definedName>
    <definedName name="QB_ROW_11031" localSheetId="1" hidden="1">'2025 Balance Sheet'!$D$37</definedName>
    <definedName name="QB_ROW_111240" localSheetId="1" hidden="1">'2025 Balance Sheet'!$E$58</definedName>
    <definedName name="QB_ROW_111240" localSheetId="3" hidden="1">'CashFlow Q1-2025'!$E$12</definedName>
    <definedName name="QB_ROW_111240" localSheetId="4" hidden="1">'CashFlow Q2-2025'!$E$17</definedName>
    <definedName name="QB_ROW_112230" localSheetId="1" hidden="1">'2025 Balance Sheet'!$D$12</definedName>
    <definedName name="QB_ROW_112240" localSheetId="2" hidden="1">'2025 CashFlowStmt by Year'!$E$7</definedName>
    <definedName name="QB_ROW_112240" localSheetId="4" hidden="1">'CashFlow Q2-2025'!$E$7</definedName>
    <definedName name="QB_ROW_113230" localSheetId="0" hidden="1">'2025 P&amp;L'!$D$66</definedName>
    <definedName name="QB_ROW_11331" localSheetId="1" hidden="1">'2025 Balance Sheet'!$D$53</definedName>
    <definedName name="QB_ROW_116230" localSheetId="1" hidden="1">'2025 Balance Sheet'!$D$11</definedName>
    <definedName name="QB_ROW_116240" localSheetId="2" hidden="1">'2025 CashFlowStmt by Year'!$E$6</definedName>
    <definedName name="QB_ROW_116240" localSheetId="4" hidden="1">'CashFlow Q2-2025'!$E$6</definedName>
    <definedName name="QB_ROW_118020" localSheetId="1" hidden="1">'2025 Balance Sheet'!$C$22</definedName>
    <definedName name="QB_ROW_118320" localSheetId="1" hidden="1">'2025 Balance Sheet'!$C$27</definedName>
    <definedName name="QB_ROW_119230" localSheetId="0" hidden="1">'2025 P&amp;L'!$D$10</definedName>
    <definedName name="QB_ROW_120230" localSheetId="1" hidden="1">'2025 Balance Sheet'!$D$26</definedName>
    <definedName name="QB_ROW_120230" localSheetId="2" hidden="1">'2025 CashFlowStmt by Year'!$D$20</definedName>
    <definedName name="QB_ROW_120230" localSheetId="3" hidden="1">'CashFlow Q1-2025'!$D$15</definedName>
    <definedName name="QB_ROW_120230" localSheetId="4" hidden="1">'CashFlow Q2-2025'!$D$20</definedName>
    <definedName name="QB_ROW_120230" localSheetId="5" hidden="1">'CashFlow Q3-2025'!$D$13</definedName>
    <definedName name="QB_ROW_120230" localSheetId="6" hidden="1">'CashFlow Q4-2025'!$D$15</definedName>
    <definedName name="QB_ROW_12031" localSheetId="1" hidden="1">'2025 Balance Sheet'!$D$54</definedName>
    <definedName name="QB_ROW_121230" localSheetId="1" hidden="1">'2025 Balance Sheet'!$D$23</definedName>
    <definedName name="QB_ROW_122230" localSheetId="1" hidden="1">'2025 Balance Sheet'!$D$24</definedName>
    <definedName name="QB_ROW_12230" localSheetId="0" hidden="1">'2025 P&amp;L'!$D$39</definedName>
    <definedName name="QB_ROW_12331" localSheetId="1" hidden="1">'2025 Balance Sheet'!$D$60</definedName>
    <definedName name="QB_ROW_125230" localSheetId="1" hidden="1">'2025 Balance Sheet'!$D$25</definedName>
    <definedName name="QB_ROW_127230" localSheetId="1" hidden="1">'2025 Balance Sheet'!$D$7</definedName>
    <definedName name="QB_ROW_128230" localSheetId="0" hidden="1">'2025 P&amp;L'!$D$16</definedName>
    <definedName name="QB_ROW_129230" localSheetId="1" hidden="1">'2025 Balance Sheet'!$D$64</definedName>
    <definedName name="QB_ROW_129230" localSheetId="2" hidden="1">'2025 CashFlowStmt by Year'!$D$24</definedName>
    <definedName name="QB_ROW_129230" localSheetId="4" hidden="1">'CashFlow Q2-2025'!$D$24</definedName>
    <definedName name="QB_ROW_13021" localSheetId="1" hidden="1">'2025 Balance Sheet'!$C$62</definedName>
    <definedName name="QB_ROW_1311" localSheetId="1" hidden="1">'2025 Balance Sheet'!$B$16</definedName>
    <definedName name="QB_ROW_131240" localSheetId="0" hidden="1">'2025 P&amp;L'!#REF!</definedName>
    <definedName name="QB_ROW_132240" localSheetId="0" hidden="1">'2025 P&amp;L'!$E$26</definedName>
    <definedName name="QB_ROW_13230" localSheetId="0" hidden="1">'2025 P&amp;L'!$D$40</definedName>
    <definedName name="QB_ROW_13321" localSheetId="1" hidden="1">'2025 Balance Sheet'!$C$66</definedName>
    <definedName name="QB_ROW_134240" localSheetId="0" hidden="1">'2025 P&amp;L'!$E$13</definedName>
    <definedName name="QB_ROW_137220" localSheetId="1" hidden="1">'2025 Balance Sheet'!$C$72</definedName>
    <definedName name="QB_ROW_137230" localSheetId="2" hidden="1">'2025 CashFlowStmt by Year'!$D$29</definedName>
    <definedName name="QB_ROW_137230" localSheetId="4" hidden="1">'CashFlow Q2-2025'!$D$26</definedName>
    <definedName name="QB_ROW_138220" localSheetId="1" hidden="1">'2025 Balance Sheet'!$C$70</definedName>
    <definedName name="QB_ROW_138230" localSheetId="2" hidden="1">'2025 CashFlowStmt by Year'!$D$28</definedName>
    <definedName name="QB_ROW_138230" localSheetId="6" hidden="1">'CashFlow Q4-2025'!$D$22</definedName>
    <definedName name="QB_ROW_139240" localSheetId="1" hidden="1">'2025 Balance Sheet'!$E$57</definedName>
    <definedName name="QB_ROW_139240" localSheetId="2" hidden="1">'2025 CashFlowStmt by Year'!$E$17</definedName>
    <definedName name="QB_ROW_139240" localSheetId="6" hidden="1">'CashFlow Q4-2025'!$E$12</definedName>
    <definedName name="QB_ROW_14011" localSheetId="1" hidden="1">'2025 Balance Sheet'!$B$68</definedName>
    <definedName name="QB_ROW_14030" localSheetId="0" hidden="1">'2025 P&amp;L'!$D$41</definedName>
    <definedName name="QB_ROW_14240" localSheetId="0" hidden="1">'2025 P&amp;L'!$E$43</definedName>
    <definedName name="QB_ROW_14311" localSheetId="1" hidden="1">'2025 Balance Sheet'!$B$75</definedName>
    <definedName name="QB_ROW_14330" localSheetId="0" hidden="1">'2025 P&amp;L'!$D$44</definedName>
    <definedName name="QB_ROW_15240" localSheetId="0" hidden="1">'2025 P&amp;L'!$E$42</definedName>
    <definedName name="QB_ROW_16230" localSheetId="0" hidden="1">'2025 P&amp;L'!$D$45</definedName>
    <definedName name="QB_ROW_17221" localSheetId="1" hidden="1">'2025 Balance Sheet'!$C$74</definedName>
    <definedName name="QB_ROW_17231" localSheetId="2" hidden="1">'2025 CashFlowStmt by Year'!$D$3</definedName>
    <definedName name="QB_ROW_17231" localSheetId="3" hidden="1">'CashFlow Q1-2025'!$D$3</definedName>
    <definedName name="QB_ROW_17231" localSheetId="4" hidden="1">'CashFlow Q2-2025'!$D$3</definedName>
    <definedName name="QB_ROW_17231" localSheetId="5" hidden="1">'CashFlow Q3-2025'!$D$3</definedName>
    <definedName name="QB_ROW_17231" localSheetId="6" hidden="1">'CashFlow Q4-2025'!$D$3</definedName>
    <definedName name="QB_ROW_18230" localSheetId="0" hidden="1">'2025 P&amp;L'!$D$46</definedName>
    <definedName name="QB_ROW_18301" localSheetId="0" hidden="1">'2025 P&amp;L'!$A$73</definedName>
    <definedName name="QB_ROW_19011" localSheetId="0" hidden="1">'2025 P&amp;L'!$B$2</definedName>
    <definedName name="QB_ROW_19230" localSheetId="0" hidden="1">'2025 P&amp;L'!$D$53</definedName>
    <definedName name="QB_ROW_19311" localSheetId="0" hidden="1">'2025 P&amp;L'!$B$63</definedName>
    <definedName name="QB_ROW_20021" localSheetId="0" hidden="1">'2025 P&amp;L'!$C$3</definedName>
    <definedName name="QB_ROW_2021" localSheetId="1" hidden="1">'2025 Balance Sheet'!$C$4</definedName>
    <definedName name="QB_ROW_20230" localSheetId="0" hidden="1">'2025 P&amp;L'!$D$54</definedName>
    <definedName name="QB_ROW_20321" localSheetId="0" hidden="1">'2025 P&amp;L'!$C$6</definedName>
    <definedName name="QB_ROW_21021" localSheetId="0" hidden="1">'2025 P&amp;L'!$C$7</definedName>
    <definedName name="QB_ROW_21321" localSheetId="0" hidden="1">'2025 P&amp;L'!$C$62</definedName>
    <definedName name="QB_ROW_22011" localSheetId="0" hidden="1">'2025 P&amp;L'!$B$64</definedName>
    <definedName name="QB_ROW_22311" localSheetId="0" hidden="1">'2025 P&amp;L'!$B$72</definedName>
    <definedName name="QB_ROW_23021" localSheetId="0" hidden="1">'2025 P&amp;L'!$C$65</definedName>
    <definedName name="QB_ROW_23030" localSheetId="0" hidden="1">'2025 P&amp;L'!$D$55</definedName>
    <definedName name="QB_ROW_2321" localSheetId="1" hidden="1">'2025 Balance Sheet'!$C$9</definedName>
    <definedName name="QB_ROW_23240" localSheetId="0" hidden="1">'2025 P&amp;L'!$E$60</definedName>
    <definedName name="QB_ROW_23321" localSheetId="0" hidden="1">'2025 P&amp;L'!$C$68</definedName>
    <definedName name="QB_ROW_23330" localSheetId="0" hidden="1">'2025 P&amp;L'!$D$61</definedName>
    <definedName name="QB_ROW_24021" localSheetId="0" hidden="1">'2025 P&amp;L'!$C$69</definedName>
    <definedName name="QB_ROW_24321" localSheetId="0" hidden="1">'2025 P&amp;L'!$C$71</definedName>
    <definedName name="QB_ROW_26220" localSheetId="1" hidden="1">'2025 Balance Sheet'!$C$69</definedName>
    <definedName name="QB_ROW_26230" localSheetId="2" hidden="1">'2025 CashFlowStmt by Year'!$D$27</definedName>
    <definedName name="QB_ROW_26230" localSheetId="6" hidden="1">'CashFlow Q4-2025'!$D$21</definedName>
    <definedName name="QB_ROW_28220" localSheetId="1" hidden="1">'2025 Balance Sheet'!$C$73</definedName>
    <definedName name="QB_ROW_29030" localSheetId="0" hidden="1">'2025 P&amp;L'!$D$47</definedName>
    <definedName name="QB_ROW_29240" localSheetId="0" hidden="1">'2025 P&amp;L'!#REF!</definedName>
    <definedName name="QB_ROW_29330" localSheetId="0" hidden="1">'2025 P&amp;L'!$D$52</definedName>
    <definedName name="QB_ROW_301" localSheetId="1" hidden="1">'2025 Balance Sheet'!$A$30</definedName>
    <definedName name="QB_ROW_30240" localSheetId="1" hidden="1">'2025 Balance Sheet'!$E$59</definedName>
    <definedName name="QB_ROW_30240" localSheetId="2" hidden="1">'2025 CashFlowStmt by Year'!$E$16</definedName>
    <definedName name="QB_ROW_30240" localSheetId="6" hidden="1">'CashFlow Q4-2025'!$E$11</definedName>
    <definedName name="QB_ROW_32230" localSheetId="1" hidden="1">'2025 Balance Sheet'!$D$65</definedName>
    <definedName name="QB_ROW_33230" localSheetId="0" hidden="1">'2025 P&amp;L'!$D$17</definedName>
    <definedName name="QB_ROW_34230" localSheetId="1" hidden="1">'2025 Balance Sheet'!$D$5</definedName>
    <definedName name="QB_ROW_35240" localSheetId="0" hidden="1">'2025 P&amp;L'!$E$50</definedName>
    <definedName name="QB_ROW_36230" localSheetId="0" hidden="1">'2025 P&amp;L'!$D$22</definedName>
    <definedName name="QB_ROW_37030" localSheetId="0" hidden="1">'2025 P&amp;L'!$D$32</definedName>
    <definedName name="QB_ROW_37330" localSheetId="0" hidden="1">'2025 P&amp;L'!$D$35</definedName>
    <definedName name="QB_ROW_38240" localSheetId="0" hidden="1">'2025 P&amp;L'!$E$34</definedName>
    <definedName name="QB_ROW_4021" localSheetId="1" hidden="1">'2025 Balance Sheet'!$C$10</definedName>
    <definedName name="QB_ROW_41230" localSheetId="0" hidden="1">'2025 P&amp;L'!$D$37</definedName>
    <definedName name="QB_ROW_42030" localSheetId="0" hidden="1">'2025 P&amp;L'!$D$12</definedName>
    <definedName name="QB_ROW_42240" localSheetId="0" hidden="1">'2025 P&amp;L'!$E$14</definedName>
    <definedName name="QB_ROW_42330" localSheetId="0" hidden="1">'2025 P&amp;L'!$D$15</definedName>
    <definedName name="QB_ROW_4320" localSheetId="1" hidden="1">'2025 Balance Sheet'!$C$18</definedName>
    <definedName name="QB_ROW_4321" localSheetId="1" hidden="1">'2025 Balance Sheet'!$C$15</definedName>
    <definedName name="QB_ROW_43240" localSheetId="0" hidden="1">'2025 P&amp;L'!$E$48</definedName>
    <definedName name="QB_ROW_44230" localSheetId="0" hidden="1">'2025 P&amp;L'!$D$24</definedName>
    <definedName name="QB_ROW_45230" localSheetId="0" hidden="1">'2025 P&amp;L'!$D$29</definedName>
    <definedName name="QB_ROW_46230" localSheetId="1" hidden="1">'2025 Balance Sheet'!$D$13</definedName>
    <definedName name="QB_ROW_46240" localSheetId="2" hidden="1">'2025 CashFlowStmt by Year'!$E$9</definedName>
    <definedName name="QB_ROW_46240" localSheetId="4" hidden="1">'CashFlow Q2-2025'!$E$9</definedName>
    <definedName name="QB_ROW_47240" localSheetId="1" hidden="1">'2025 Balance Sheet'!$E$35</definedName>
    <definedName name="QB_ROW_47240" localSheetId="3" hidden="1">'CashFlow Q1-2025'!$E$6</definedName>
    <definedName name="QB_ROW_47240" localSheetId="4" hidden="1">'CashFlow Q2-2025'!$E$10</definedName>
    <definedName name="QB_ROW_49040" localSheetId="1" hidden="1">'2025 Balance Sheet'!$E$45</definedName>
    <definedName name="QB_ROW_49250" localSheetId="1" hidden="1">'2025 Balance Sheet'!$F$51</definedName>
    <definedName name="QB_ROW_49340" localSheetId="1" hidden="1">'2025 Balance Sheet'!$E$52</definedName>
    <definedName name="QB_ROW_501021" localSheetId="2" hidden="1">'2025 CashFlowStmt by Year'!$C$2</definedName>
    <definedName name="QB_ROW_501021" localSheetId="3" hidden="1">'CashFlow Q1-2025'!$C$2</definedName>
    <definedName name="QB_ROW_501021" localSheetId="4" hidden="1">'CashFlow Q2-2025'!$C$2</definedName>
    <definedName name="QB_ROW_501021" localSheetId="5" hidden="1">'CashFlow Q3-2025'!$C$2</definedName>
    <definedName name="QB_ROW_501021" localSheetId="6" hidden="1">'CashFlow Q4-2025'!$C$2</definedName>
    <definedName name="QB_ROW_5011" localSheetId="1" hidden="1">'2025 Balance Sheet'!$B$17</definedName>
    <definedName name="QB_ROW_501321" localSheetId="2" hidden="1">'2025 CashFlowStmt by Year'!$C$18</definedName>
    <definedName name="QB_ROW_501321" localSheetId="3" hidden="1">'CashFlow Q1-2025'!$C$13</definedName>
    <definedName name="QB_ROW_501321" localSheetId="4" hidden="1">'CashFlow Q2-2025'!$C$18</definedName>
    <definedName name="QB_ROW_501321" localSheetId="5" hidden="1">'CashFlow Q3-2025'!$C$11</definedName>
    <definedName name="QB_ROW_501321" localSheetId="6" hidden="1">'CashFlow Q4-2025'!$C$13</definedName>
    <definedName name="QB_ROW_502021" localSheetId="2" hidden="1">'2025 CashFlowStmt by Year'!$C$19</definedName>
    <definedName name="QB_ROW_502021" localSheetId="3" hidden="1">'CashFlow Q1-2025'!$C$14</definedName>
    <definedName name="QB_ROW_502021" localSheetId="4" hidden="1">'CashFlow Q2-2025'!$C$19</definedName>
    <definedName name="QB_ROW_502021" localSheetId="5" hidden="1">'CashFlow Q3-2025'!$C$12</definedName>
    <definedName name="QB_ROW_502021" localSheetId="6" hidden="1">'CashFlow Q4-2025'!$C$14</definedName>
    <definedName name="QB_ROW_502321" localSheetId="2" hidden="1">'2025 CashFlowStmt by Year'!$C$21</definedName>
    <definedName name="QB_ROW_502321" localSheetId="3" hidden="1">'CashFlow Q1-2025'!$C$16</definedName>
    <definedName name="QB_ROW_502321" localSheetId="4" hidden="1">'CashFlow Q2-2025'!$C$21</definedName>
    <definedName name="QB_ROW_502321" localSheetId="5" hidden="1">'CashFlow Q3-2025'!$C$14</definedName>
    <definedName name="QB_ROW_502321" localSheetId="6" hidden="1">'CashFlow Q4-2025'!$C$16</definedName>
    <definedName name="QB_ROW_50250" localSheetId="1" hidden="1">'2025 Balance Sheet'!$F$48</definedName>
    <definedName name="QB_ROW_503021" localSheetId="2" hidden="1">'2025 CashFlowStmt by Year'!$C$22</definedName>
    <definedName name="QB_ROW_503021" localSheetId="3" hidden="1">'CashFlow Q1-2025'!$C$17</definedName>
    <definedName name="QB_ROW_503021" localSheetId="4" hidden="1">'CashFlow Q2-2025'!$C$22</definedName>
    <definedName name="QB_ROW_503021" localSheetId="5" hidden="1">'CashFlow Q3-2025'!$C$15</definedName>
    <definedName name="QB_ROW_503021" localSheetId="6" hidden="1">'CashFlow Q4-2025'!$C$17</definedName>
    <definedName name="QB_ROW_503321" localSheetId="2" hidden="1">'2025 CashFlowStmt by Year'!$C$30</definedName>
    <definedName name="QB_ROW_503321" localSheetId="3" hidden="1">'CashFlow Q1-2025'!$C$20</definedName>
    <definedName name="QB_ROW_503321" localSheetId="4" hidden="1">'CashFlow Q2-2025'!$C$27</definedName>
    <definedName name="QB_ROW_503321" localSheetId="5" hidden="1">'CashFlow Q3-2025'!$C$19</definedName>
    <definedName name="QB_ROW_503321" localSheetId="6" hidden="1">'CashFlow Q4-2025'!$C$23</definedName>
    <definedName name="QB_ROW_504031" localSheetId="2" hidden="1">'2025 CashFlowStmt by Year'!$D$4</definedName>
    <definedName name="QB_ROW_504031" localSheetId="3" hidden="1">'CashFlow Q1-2025'!$D$4</definedName>
    <definedName name="QB_ROW_504031" localSheetId="4" hidden="1">'CashFlow Q2-2025'!$D$4</definedName>
    <definedName name="QB_ROW_504031" localSheetId="5" hidden="1">'CashFlow Q3-2025'!$D$4</definedName>
    <definedName name="QB_ROW_504031" localSheetId="6" hidden="1">'CashFlow Q4-2025'!$D$4</definedName>
    <definedName name="QB_ROW_505031" localSheetId="2" hidden="1">'2025 CashFlowStmt by Year'!$D$5</definedName>
    <definedName name="QB_ROW_505031" localSheetId="3" hidden="1">'CashFlow Q1-2025'!$D$5</definedName>
    <definedName name="QB_ROW_505031" localSheetId="4" hidden="1">'CashFlow Q2-2025'!$D$5</definedName>
    <definedName name="QB_ROW_505031" localSheetId="5" hidden="1">'CashFlow Q3-2025'!$D$5</definedName>
    <definedName name="QB_ROW_505031" localSheetId="6" hidden="1">'CashFlow Q4-2025'!$D$5</definedName>
    <definedName name="QB_ROW_511301" localSheetId="2" hidden="1">'2025 CashFlowStmt by Year'!$A$33</definedName>
    <definedName name="QB_ROW_511301" localSheetId="3" hidden="1">'CashFlow Q1-2025'!$A$23</definedName>
    <definedName name="QB_ROW_511301" localSheetId="4" hidden="1">'CashFlow Q2-2025'!$A$30</definedName>
    <definedName name="QB_ROW_511301" localSheetId="5" hidden="1">'CashFlow Q3-2025'!$A$22</definedName>
    <definedName name="QB_ROW_511301" localSheetId="6" hidden="1">'CashFlow Q4-2025'!$A$26</definedName>
    <definedName name="QB_ROW_512311" localSheetId="2" hidden="1">'2025 CashFlowStmt by Year'!$B$31</definedName>
    <definedName name="QB_ROW_512311" localSheetId="3" hidden="1">'CashFlow Q1-2025'!$B$21</definedName>
    <definedName name="QB_ROW_512311" localSheetId="4" hidden="1">'CashFlow Q2-2025'!$B$28</definedName>
    <definedName name="QB_ROW_512311" localSheetId="5" hidden="1">'CashFlow Q3-2025'!$B$20</definedName>
    <definedName name="QB_ROW_512311" localSheetId="6" hidden="1">'CashFlow Q4-2025'!$B$24</definedName>
    <definedName name="QB_ROW_51250" localSheetId="1" hidden="1">'2025 Balance Sheet'!$F$46</definedName>
    <definedName name="QB_ROW_513211" localSheetId="2" hidden="1">'2025 CashFlowStmt by Year'!$B$32</definedName>
    <definedName name="QB_ROW_513211" localSheetId="3" hidden="1">'CashFlow Q1-2025'!$B$22</definedName>
    <definedName name="QB_ROW_513211" localSheetId="4" hidden="1">'CashFlow Q2-2025'!$B$29</definedName>
    <definedName name="QB_ROW_513211" localSheetId="5" hidden="1">'CashFlow Q3-2025'!$B$21</definedName>
    <definedName name="QB_ROW_513211" localSheetId="6" hidden="1">'CashFlow Q4-2025'!$B$25</definedName>
    <definedName name="QB_ROW_5220" localSheetId="1" hidden="1">'2025 Balance Sheet'!$C$19</definedName>
    <definedName name="QB_ROW_52250" localSheetId="1" hidden="1">'2025 Balance Sheet'!$F$49</definedName>
    <definedName name="QB_ROW_5311" localSheetId="1" hidden="1">'2025 Balance Sheet'!$B$20</definedName>
    <definedName name="QB_ROW_53240" localSheetId="0" hidden="1">'2025 P&amp;L'!$E$56</definedName>
    <definedName name="QB_ROW_54230" localSheetId="0" hidden="1">'2025 P&amp;L'!$D$31</definedName>
    <definedName name="QB_ROW_55240" localSheetId="0" hidden="1">'2025 P&amp;L'!$E$58</definedName>
    <definedName name="QB_ROW_56240" localSheetId="0" hidden="1">'2025 P&amp;L'!$E$57</definedName>
    <definedName name="QB_ROW_6011" localSheetId="1" hidden="1">'2025 Balance Sheet'!$B$21</definedName>
    <definedName name="QB_ROW_60240" localSheetId="0" hidden="1">'2025 P&amp;L'!$E$59</definedName>
    <definedName name="QB_ROW_61230" localSheetId="0" hidden="1">'2025 P&amp;L'!$D$38</definedName>
    <definedName name="QB_ROW_6230" localSheetId="0" hidden="1">'2025 P&amp;L'!$D$5</definedName>
    <definedName name="QB_ROW_6311" localSheetId="1" hidden="1">'2025 Balance Sheet'!$B$29</definedName>
    <definedName name="QB_ROW_64230" localSheetId="0" hidden="1">'2025 P&amp;L'!$D$36</definedName>
    <definedName name="QB_ROW_65230" localSheetId="0" hidden="1">'2025 P&amp;L'!$D$11</definedName>
    <definedName name="QB_ROW_66230" localSheetId="0" hidden="1">'2025 P&amp;L'!$D$70</definedName>
    <definedName name="QB_ROW_68250" localSheetId="1" hidden="1">'2025 Balance Sheet'!$F$50</definedName>
    <definedName name="QB_ROW_69230" localSheetId="0" hidden="1">'2025 P&amp;L'!$D$23</definedName>
    <definedName name="QB_ROW_7001" localSheetId="1" hidden="1">'2025 Balance Sheet'!$A$31</definedName>
    <definedName name="QB_ROW_71230" localSheetId="0" hidden="1">'2025 P&amp;L'!$D$20</definedName>
    <definedName name="QB_ROW_72240" localSheetId="0" hidden="1">'2025 P&amp;L'!$E$49</definedName>
    <definedName name="QB_ROW_7230" localSheetId="0" hidden="1">'2025 P&amp;L'!$D$8</definedName>
    <definedName name="QB_ROW_7301" localSheetId="1" hidden="1">'2025 Balance Sheet'!$A$76</definedName>
    <definedName name="QB_ROW_73230" localSheetId="1" hidden="1">'2025 Balance Sheet'!$D$63</definedName>
    <definedName name="QB_ROW_73230" localSheetId="2" hidden="1">'2025 CashFlowStmt by Year'!$D$25</definedName>
    <definedName name="QB_ROW_73230" localSheetId="5" hidden="1">'CashFlow Q3-2025'!$D$17</definedName>
    <definedName name="QB_ROW_73230" localSheetId="6" hidden="1">'CashFlow Q4-2025'!$D$19</definedName>
    <definedName name="QB_ROW_74230" localSheetId="2" hidden="1">'2025 CashFlowStmt by Year'!$D$23</definedName>
    <definedName name="QB_ROW_74230" localSheetId="3" hidden="1">'CashFlow Q1-2025'!$D$18</definedName>
    <definedName name="QB_ROW_74230" localSheetId="4" hidden="1">'CashFlow Q2-2025'!$D$23</definedName>
    <definedName name="QB_ROW_74230" localSheetId="5" hidden="1">'CashFlow Q3-2025'!$D$16</definedName>
    <definedName name="QB_ROW_74230" localSheetId="6" hidden="1">'CashFlow Q4-2025'!$D$18</definedName>
    <definedName name="QB_ROW_74240" localSheetId="1" hidden="1">'2025 Balance Sheet'!$E$55</definedName>
    <definedName name="QB_ROW_77220" localSheetId="1" hidden="1">'2025 Balance Sheet'!$C$28</definedName>
    <definedName name="QB_ROW_79230" localSheetId="0" hidden="1">'2025 P&amp;L'!$D$21</definedName>
    <definedName name="QB_ROW_8011" localSheetId="1" hidden="1">'2025 Balance Sheet'!$B$32</definedName>
    <definedName name="QB_ROW_81230" localSheetId="0" hidden="1">'2025 P&amp;L'!$D$9</definedName>
    <definedName name="QB_ROW_82230" localSheetId="1" hidden="1">'2025 Balance Sheet'!$D$6</definedName>
    <definedName name="QB_ROW_8230" localSheetId="0" hidden="1">'2025 P&amp;L'!$D$18</definedName>
    <definedName name="QB_ROW_8311" localSheetId="1" hidden="1">'2025 Balance Sheet'!$B$67</definedName>
    <definedName name="QB_ROW_84230" localSheetId="0" hidden="1">'2025 P&amp;L'!$D$4</definedName>
    <definedName name="QB_ROW_9021" localSheetId="1" hidden="1">'2025 Balance Sheet'!$C$33</definedName>
    <definedName name="QB_ROW_90250" localSheetId="1" hidden="1">'2025 Balance Sheet'!$F$47</definedName>
    <definedName name="QB_ROW_92240" localSheetId="0" hidden="1">'2025 P&amp;L'!$E$51</definedName>
    <definedName name="QB_ROW_9230" localSheetId="0" hidden="1">'2025 P&amp;L'!$D$30</definedName>
    <definedName name="QB_ROW_9321" localSheetId="1" hidden="1">'2025 Balance Sheet'!$C$61</definedName>
    <definedName name="QB_ROW_94240" localSheetId="0" hidden="1">'2025 P&amp;L'!$E$33</definedName>
    <definedName name="QB_ROW_97230" localSheetId="1" hidden="1">'2025 Balance Sheet'!$D$14</definedName>
    <definedName name="QB_ROW_97240" localSheetId="2" hidden="1">'2025 CashFlowStmt by Year'!$E$8</definedName>
    <definedName name="QB_ROW_97240" localSheetId="4" hidden="1">'CashFlow Q2-2025'!$E$8</definedName>
    <definedName name="QB_ROW_98030" localSheetId="0" hidden="1">'2025 P&amp;L'!$D$25</definedName>
    <definedName name="QB_ROW_98240" localSheetId="0" hidden="1">'2025 P&amp;L'!$E$27</definedName>
    <definedName name="QB_ROW_98330" localSheetId="0" hidden="1">'2025 P&amp;L'!$D$28</definedName>
    <definedName name="QB_ROW_99230" localSheetId="0" hidden="1">'2025 P&amp;L'!$D$19</definedName>
    <definedName name="QBCANSUPPORTUPDATE" localSheetId="1">TRUE</definedName>
    <definedName name="QBCANSUPPORTUPDATE" localSheetId="2">TRUE</definedName>
    <definedName name="QBCANSUPPORTUPDATE" localSheetId="0">TRUE</definedName>
    <definedName name="QBCANSUPPORTUPDATE" localSheetId="3">TRUE</definedName>
    <definedName name="QBCANSUPPORTUPDATE" localSheetId="4">TRUE</definedName>
    <definedName name="QBCANSUPPORTUPDATE" localSheetId="5">TRUE</definedName>
    <definedName name="QBCANSUPPORTUPDATE" localSheetId="6">TRUE</definedName>
    <definedName name="QBCOMPANYFILENAME" localSheetId="1">"C:\H DRIVE\Ideal Accounting and Tax Services-01\Quickbooks\Summit Technology Laboratory.qbw"</definedName>
    <definedName name="QBCOMPANYFILENAME" localSheetId="2">"C:\H DRIVE\Ideal Accounting and Tax Services-01\Quickbooks\Summit Technology Laboratory.qbw"</definedName>
    <definedName name="QBCOMPANYFILENAME" localSheetId="0">"C:\H DRIVE\Ideal Accounting and Tax Services-01\Quickbooks\Summit Technology Laboratory.qbw"</definedName>
    <definedName name="QBCOMPANYFILENAME" localSheetId="3">"C:\H DRIVE\Ideal Accounting and Tax Services-01\Quickbooks\Summit Technology Laboratory.qbw"</definedName>
    <definedName name="QBCOMPANYFILENAME" localSheetId="4">"C:\H DRIVE\Ideal Accounting and Tax Services-01\Quickbooks\Summit Technology Laboratory.qbw"</definedName>
    <definedName name="QBCOMPANYFILENAME" localSheetId="5">"C:\H DRIVE\Ideal Accounting and Tax Services-01\Quickbooks\Summit Technology Laboratory.qbw"</definedName>
    <definedName name="QBCOMPANYFILENAME" localSheetId="6">"C:\H DRIVE\Ideal Accounting and Tax Services-01\Quickbooks\Summit Technology Laboratory.qbw"</definedName>
    <definedName name="QBENDDATE" localSheetId="1">20251231</definedName>
    <definedName name="QBENDDATE" localSheetId="2">20251231</definedName>
    <definedName name="QBENDDATE" localSheetId="0">20251231</definedName>
    <definedName name="QBENDDATE" localSheetId="3">20250331</definedName>
    <definedName name="QBENDDATE" localSheetId="4">20250630</definedName>
    <definedName name="QBENDDATE" localSheetId="5">20250930</definedName>
    <definedName name="QBENDDATE" localSheetId="6">20251231</definedName>
    <definedName name="QBHEADERSONSCREEN" localSheetId="1">FALSE</definedName>
    <definedName name="QBHEADERSONSCREEN" localSheetId="2">FALSE</definedName>
    <definedName name="QBHEADERSONSCREEN" localSheetId="0">FALSE</definedName>
    <definedName name="QBHEADERSONSCREEN" localSheetId="3">FALSE</definedName>
    <definedName name="QBHEADERSONSCREEN" localSheetId="4">FALSE</definedName>
    <definedName name="QBHEADERSONSCREEN" localSheetId="5">FALSE</definedName>
    <definedName name="QBHEADERSONSCREEN" localSheetId="6">FALSE</definedName>
    <definedName name="QBMETADATASIZE" localSheetId="1">5964</definedName>
    <definedName name="QBMETADATASIZE" localSheetId="2">5964</definedName>
    <definedName name="QBMETADATASIZE" localSheetId="0">5964</definedName>
    <definedName name="QBMETADATASIZE" localSheetId="3">5964</definedName>
    <definedName name="QBMETADATASIZE" localSheetId="4">5964</definedName>
    <definedName name="QBMETADATASIZE" localSheetId="5">5964</definedName>
    <definedName name="QBMETADATASIZE" localSheetId="6">5964</definedName>
    <definedName name="QBPRESERVECOLOR" localSheetId="1">TRUE</definedName>
    <definedName name="QBPRESERVECOLOR" localSheetId="2">TRUE</definedName>
    <definedName name="QBPRESERVECOLOR" localSheetId="0">TRUE</definedName>
    <definedName name="QBPRESERVECOLOR" localSheetId="3">TRUE</definedName>
    <definedName name="QBPRESERVECOLOR" localSheetId="4">TRUE</definedName>
    <definedName name="QBPRESERVECOLOR" localSheetId="5">TRUE</definedName>
    <definedName name="QBPRESERVECOLOR" localSheetId="6">TRUE</definedName>
    <definedName name="QBPRESERVEFONT" localSheetId="1">TRUE</definedName>
    <definedName name="QBPRESERVEFONT" localSheetId="2">TRUE</definedName>
    <definedName name="QBPRESERVEFONT" localSheetId="0">TRUE</definedName>
    <definedName name="QBPRESERVEFONT" localSheetId="3">TRUE</definedName>
    <definedName name="QBPRESERVEFONT" localSheetId="4">TRUE</definedName>
    <definedName name="QBPRESERVEFONT" localSheetId="5">TRUE</definedName>
    <definedName name="QBPRESERVEFONT" localSheetId="6">TRUE</definedName>
    <definedName name="QBPRESERVEROWHEIGHT" localSheetId="1">TRUE</definedName>
    <definedName name="QBPRESERVEROWHEIGHT" localSheetId="2">TRUE</definedName>
    <definedName name="QBPRESERVEROWHEIGHT" localSheetId="0">TRUE</definedName>
    <definedName name="QBPRESERVEROWHEIGHT" localSheetId="3">TRUE</definedName>
    <definedName name="QBPRESERVEROWHEIGHT" localSheetId="4">TRUE</definedName>
    <definedName name="QBPRESERVEROWHEIGHT" localSheetId="5">TRUE</definedName>
    <definedName name="QBPRESERVEROWHEIGHT" localSheetId="6">TRUE</definedName>
    <definedName name="QBPRESERVESPACE" localSheetId="1">TRUE</definedName>
    <definedName name="QBPRESERVESPACE" localSheetId="2">TRUE</definedName>
    <definedName name="QBPRESERVESPACE" localSheetId="0">TRUE</definedName>
    <definedName name="QBPRESERVESPACE" localSheetId="3">TRUE</definedName>
    <definedName name="QBPRESERVESPACE" localSheetId="4">TRUE</definedName>
    <definedName name="QBPRESERVESPACE" localSheetId="5">TRUE</definedName>
    <definedName name="QBPRESERVESPACE" localSheetId="6">TRUE</definedName>
    <definedName name="QBREPORTCOLAXIS" localSheetId="1">7</definedName>
    <definedName name="QBREPORTCOLAXIS" localSheetId="2">0</definedName>
    <definedName name="QBREPORTCOLAXIS" localSheetId="0">7</definedName>
    <definedName name="QBREPORTCOLAXIS" localSheetId="3">0</definedName>
    <definedName name="QBREPORTCOLAXIS" localSheetId="4">0</definedName>
    <definedName name="QBREPORTCOLAXIS" localSheetId="5">0</definedName>
    <definedName name="QBREPORTCOLAXIS" localSheetId="6">0</definedName>
    <definedName name="QBREPORTCOMPANYID" localSheetId="1">"6491396f452e43deac1985ff477054be"</definedName>
    <definedName name="QBREPORTCOMPANYID" localSheetId="2">"6491396f452e43deac1985ff477054be"</definedName>
    <definedName name="QBREPORTCOMPANYID" localSheetId="0">"6491396f452e43deac1985ff477054be"</definedName>
    <definedName name="QBREPORTCOMPANYID" localSheetId="3">"6491396f452e43deac1985ff477054be"</definedName>
    <definedName name="QBREPORTCOMPANYID" localSheetId="4">"6491396f452e43deac1985ff477054be"</definedName>
    <definedName name="QBREPORTCOMPANYID" localSheetId="5">"6491396f452e43deac1985ff477054be"</definedName>
    <definedName name="QBREPORTCOMPANYID" localSheetId="6">"6491396f452e43deac1985ff477054be"</definedName>
    <definedName name="QBREPORTCOMPARECOL_ANNUALBUDGET" localSheetId="1">FALSE</definedName>
    <definedName name="QBREPORTCOMPARECOL_ANNUALBUDGET" localSheetId="2">FALSE</definedName>
    <definedName name="QBREPORTCOMPARECOL_ANNUALBUDGET" localSheetId="0">FALSE</definedName>
    <definedName name="QBREPORTCOMPARECOL_ANNUALBUDGET" localSheetId="3">FALSE</definedName>
    <definedName name="QBREPORTCOMPARECOL_ANNUALBUDGET" localSheetId="4">FALSE</definedName>
    <definedName name="QBREPORTCOMPARECOL_ANNUALBUDGET" localSheetId="5">FALSE</definedName>
    <definedName name="QBREPORTCOMPARECOL_ANNUALBUDGET" localSheetId="6">FALSE</definedName>
    <definedName name="QBREPORTCOMPARECOL_AVGCOGS" localSheetId="1">FALSE</definedName>
    <definedName name="QBREPORTCOMPARECOL_AVGCOGS" localSheetId="2">FALSE</definedName>
    <definedName name="QBREPORTCOMPARECOL_AVGCOGS" localSheetId="0">FALSE</definedName>
    <definedName name="QBREPORTCOMPARECOL_AVGCOGS" localSheetId="3">FALSE</definedName>
    <definedName name="QBREPORTCOMPARECOL_AVGCOGS" localSheetId="4">FALSE</definedName>
    <definedName name="QBREPORTCOMPARECOL_AVGCOGS" localSheetId="5">FALSE</definedName>
    <definedName name="QBREPORTCOMPARECOL_AVGCOGS" localSheetId="6">FALSE</definedName>
    <definedName name="QBREPORTCOMPARECOL_AVGPRICE" localSheetId="1">FALSE</definedName>
    <definedName name="QBREPORTCOMPARECOL_AVGPRICE" localSheetId="2">FALSE</definedName>
    <definedName name="QBREPORTCOMPARECOL_AVGPRICE" localSheetId="0">FALSE</definedName>
    <definedName name="QBREPORTCOMPARECOL_AVGPRICE" localSheetId="3">FALSE</definedName>
    <definedName name="QBREPORTCOMPARECOL_AVGPRICE" localSheetId="4">FALSE</definedName>
    <definedName name="QBREPORTCOMPARECOL_AVGPRICE" localSheetId="5">FALSE</definedName>
    <definedName name="QBREPORTCOMPARECOL_AVGPRICE" localSheetId="6">FALSE</definedName>
    <definedName name="QBREPORTCOMPARECOL_BUDDIFF" localSheetId="1">FALSE</definedName>
    <definedName name="QBREPORTCOMPARECOL_BUDDIFF" localSheetId="2">FALSE</definedName>
    <definedName name="QBREPORTCOMPARECOL_BUDDIFF" localSheetId="0">FALSE</definedName>
    <definedName name="QBREPORTCOMPARECOL_BUDDIFF" localSheetId="3">FALSE</definedName>
    <definedName name="QBREPORTCOMPARECOL_BUDDIFF" localSheetId="4">FALSE</definedName>
    <definedName name="QBREPORTCOMPARECOL_BUDDIFF" localSheetId="5">FALSE</definedName>
    <definedName name="QBREPORTCOMPARECOL_BUDDIFF" localSheetId="6">FALSE</definedName>
    <definedName name="QBREPORTCOMPARECOL_BUDGET" localSheetId="1">FALSE</definedName>
    <definedName name="QBREPORTCOMPARECOL_BUDGET" localSheetId="2">FALSE</definedName>
    <definedName name="QBREPORTCOMPARECOL_BUDGET" localSheetId="0">FALSE</definedName>
    <definedName name="QBREPORTCOMPARECOL_BUDGET" localSheetId="3">FALSE</definedName>
    <definedName name="QBREPORTCOMPARECOL_BUDGET" localSheetId="4">FALSE</definedName>
    <definedName name="QBREPORTCOMPARECOL_BUDGET" localSheetId="5">FALSE</definedName>
    <definedName name="QBREPORTCOMPARECOL_BUDGET" localSheetId="6">FALSE</definedName>
    <definedName name="QBREPORTCOMPARECOL_BUDPCT" localSheetId="1">FALSE</definedName>
    <definedName name="QBREPORTCOMPARECOL_BUDPCT" localSheetId="2">FALSE</definedName>
    <definedName name="QBREPORTCOMPARECOL_BUDPCT" localSheetId="0">FALSE</definedName>
    <definedName name="QBREPORTCOMPARECOL_BUDPCT" localSheetId="3">FALSE</definedName>
    <definedName name="QBREPORTCOMPARECOL_BUDPCT" localSheetId="4">FALSE</definedName>
    <definedName name="QBREPORTCOMPARECOL_BUDPCT" localSheetId="5">FALSE</definedName>
    <definedName name="QBREPORTCOMPARECOL_BUDPCT" localSheetId="6">FALSE</definedName>
    <definedName name="QBREPORTCOMPARECOL_COGS" localSheetId="1">FALSE</definedName>
    <definedName name="QBREPORTCOMPARECOL_COGS" localSheetId="2">FALSE</definedName>
    <definedName name="QBREPORTCOMPARECOL_COGS" localSheetId="0">FALSE</definedName>
    <definedName name="QBREPORTCOMPARECOL_COGS" localSheetId="3">FALSE</definedName>
    <definedName name="QBREPORTCOMPARECOL_COGS" localSheetId="4">FALSE</definedName>
    <definedName name="QBREPORTCOMPARECOL_COGS" localSheetId="5">FALSE</definedName>
    <definedName name="QBREPORTCOMPARECOL_COGS" localSheetId="6">FALSE</definedName>
    <definedName name="QBREPORTCOMPARECOL_EXCLUDEAMOUNT" localSheetId="1">FALSE</definedName>
    <definedName name="QBREPORTCOMPARECOL_EXCLUDEAMOUNT" localSheetId="2">FALSE</definedName>
    <definedName name="QBREPORTCOMPARECOL_EXCLUDEAMOUNT" localSheetId="0">FALSE</definedName>
    <definedName name="QBREPORTCOMPARECOL_EXCLUDEAMOUNT" localSheetId="3">FALSE</definedName>
    <definedName name="QBREPORTCOMPARECOL_EXCLUDEAMOUNT" localSheetId="4">FALSE</definedName>
    <definedName name="QBREPORTCOMPARECOL_EXCLUDEAMOUNT" localSheetId="5">FALSE</definedName>
    <definedName name="QBREPORTCOMPARECOL_EXCLUDEAMOUNT" localSheetId="6">FALSE</definedName>
    <definedName name="QBREPORTCOMPARECOL_EXCLUDECURPERIOD" localSheetId="1">FALSE</definedName>
    <definedName name="QBREPORTCOMPARECOL_EXCLUDECURPERIOD" localSheetId="2">FALSE</definedName>
    <definedName name="QBREPORTCOMPARECOL_EXCLUDECURPERIOD" localSheetId="0">FALSE</definedName>
    <definedName name="QBREPORTCOMPARECOL_EXCLUDECURPERIOD" localSheetId="3">FALSE</definedName>
    <definedName name="QBREPORTCOMPARECOL_EXCLUDECURPERIOD" localSheetId="4">FALSE</definedName>
    <definedName name="QBREPORTCOMPARECOL_EXCLUDECURPERIOD" localSheetId="5">FALSE</definedName>
    <definedName name="QBREPORTCOMPARECOL_EXCLUDECURPERIOD" localSheetId="6">FALSE</definedName>
    <definedName name="QBREPORTCOMPARECOL_FORECAST" localSheetId="1">FALSE</definedName>
    <definedName name="QBREPORTCOMPARECOL_FORECAST" localSheetId="2">FALSE</definedName>
    <definedName name="QBREPORTCOMPARECOL_FORECAST" localSheetId="0">FALSE</definedName>
    <definedName name="QBREPORTCOMPARECOL_FORECAST" localSheetId="3">FALSE</definedName>
    <definedName name="QBREPORTCOMPARECOL_FORECAST" localSheetId="4">FALSE</definedName>
    <definedName name="QBREPORTCOMPARECOL_FORECAST" localSheetId="5">FALSE</definedName>
    <definedName name="QBREPORTCOMPARECOL_FORECAST" localSheetId="6">FALSE</definedName>
    <definedName name="QBREPORTCOMPARECOL_GROSSMARGIN" localSheetId="1">FALSE</definedName>
    <definedName name="QBREPORTCOMPARECOL_GROSSMARGIN" localSheetId="2">FALSE</definedName>
    <definedName name="QBREPORTCOMPARECOL_GROSSMARGIN" localSheetId="0">FALSE</definedName>
    <definedName name="QBREPORTCOMPARECOL_GROSSMARGIN" localSheetId="3">FALSE</definedName>
    <definedName name="QBREPORTCOMPARECOL_GROSSMARGIN" localSheetId="4">FALSE</definedName>
    <definedName name="QBREPORTCOMPARECOL_GROSSMARGIN" localSheetId="5">FALSE</definedName>
    <definedName name="QBREPORTCOMPARECOL_GROSSMARGIN" localSheetId="6">FALSE</definedName>
    <definedName name="QBREPORTCOMPARECOL_GROSSMARGINPCT" localSheetId="1">FALSE</definedName>
    <definedName name="QBREPORTCOMPARECOL_GROSSMARGINPCT" localSheetId="2">FALSE</definedName>
    <definedName name="QBREPORTCOMPARECOL_GROSSMARGINPCT" localSheetId="0">FALSE</definedName>
    <definedName name="QBREPORTCOMPARECOL_GROSSMARGINPCT" localSheetId="3">FALSE</definedName>
    <definedName name="QBREPORTCOMPARECOL_GROSSMARGINPCT" localSheetId="4">FALSE</definedName>
    <definedName name="QBREPORTCOMPARECOL_GROSSMARGINPCT" localSheetId="5">FALSE</definedName>
    <definedName name="QBREPORTCOMPARECOL_GROSSMARGINPCT" localSheetId="6">FALSE</definedName>
    <definedName name="QBREPORTCOMPARECOL_HOURS" localSheetId="1">FALSE</definedName>
    <definedName name="QBREPORTCOMPARECOL_HOURS" localSheetId="2">FALSE</definedName>
    <definedName name="QBREPORTCOMPARECOL_HOURS" localSheetId="0">FALSE</definedName>
    <definedName name="QBREPORTCOMPARECOL_HOURS" localSheetId="3">FALSE</definedName>
    <definedName name="QBREPORTCOMPARECOL_HOURS" localSheetId="4">FALSE</definedName>
    <definedName name="QBREPORTCOMPARECOL_HOURS" localSheetId="5">FALSE</definedName>
    <definedName name="QBREPORTCOMPARECOL_HOURS" localSheetId="6">FALSE</definedName>
    <definedName name="QBREPORTCOMPARECOL_PCTCOL" localSheetId="1">FALSE</definedName>
    <definedName name="QBREPORTCOMPARECOL_PCTCOL" localSheetId="2">FALSE</definedName>
    <definedName name="QBREPORTCOMPARECOL_PCTCOL" localSheetId="0">FALSE</definedName>
    <definedName name="QBREPORTCOMPARECOL_PCTCOL" localSheetId="3">FALSE</definedName>
    <definedName name="QBREPORTCOMPARECOL_PCTCOL" localSheetId="4">FALSE</definedName>
    <definedName name="QBREPORTCOMPARECOL_PCTCOL" localSheetId="5">FALSE</definedName>
    <definedName name="QBREPORTCOMPARECOL_PCTCOL" localSheetId="6">FALSE</definedName>
    <definedName name="QBREPORTCOMPARECOL_PCTEXPENSE" localSheetId="1">FALSE</definedName>
    <definedName name="QBREPORTCOMPARECOL_PCTEXPENSE" localSheetId="2">FALSE</definedName>
    <definedName name="QBREPORTCOMPARECOL_PCTEXPENSE" localSheetId="0">FALSE</definedName>
    <definedName name="QBREPORTCOMPARECOL_PCTEXPENSE" localSheetId="3">FALSE</definedName>
    <definedName name="QBREPORTCOMPARECOL_PCTEXPENSE" localSheetId="4">FALSE</definedName>
    <definedName name="QBREPORTCOMPARECOL_PCTEXPENSE" localSheetId="5">FALSE</definedName>
    <definedName name="QBREPORTCOMPARECOL_PCTEXPENSE" localSheetId="6">FALSE</definedName>
    <definedName name="QBREPORTCOMPARECOL_PCTINCOME" localSheetId="1">FALSE</definedName>
    <definedName name="QBREPORTCOMPARECOL_PCTINCOME" localSheetId="2">FALSE</definedName>
    <definedName name="QBREPORTCOMPARECOL_PCTINCOME" localSheetId="0">FALSE</definedName>
    <definedName name="QBREPORTCOMPARECOL_PCTINCOME" localSheetId="3">FALSE</definedName>
    <definedName name="QBREPORTCOMPARECOL_PCTINCOME" localSheetId="4">FALSE</definedName>
    <definedName name="QBREPORTCOMPARECOL_PCTINCOME" localSheetId="5">FALSE</definedName>
    <definedName name="QBREPORTCOMPARECOL_PCTINCOME" localSheetId="6">FALSE</definedName>
    <definedName name="QBREPORTCOMPARECOL_PCTOFSALES" localSheetId="1">FALSE</definedName>
    <definedName name="QBREPORTCOMPARECOL_PCTOFSALES" localSheetId="2">FALSE</definedName>
    <definedName name="QBREPORTCOMPARECOL_PCTOFSALES" localSheetId="0">FALSE</definedName>
    <definedName name="QBREPORTCOMPARECOL_PCTOFSALES" localSheetId="3">FALSE</definedName>
    <definedName name="QBREPORTCOMPARECOL_PCTOFSALES" localSheetId="4">FALSE</definedName>
    <definedName name="QBREPORTCOMPARECOL_PCTOFSALES" localSheetId="5">FALSE</definedName>
    <definedName name="QBREPORTCOMPARECOL_PCTOFSALES" localSheetId="6">FALSE</definedName>
    <definedName name="QBREPORTCOMPARECOL_PCTROW" localSheetId="1">FALSE</definedName>
    <definedName name="QBREPORTCOMPARECOL_PCTROW" localSheetId="2">FALSE</definedName>
    <definedName name="QBREPORTCOMPARECOL_PCTROW" localSheetId="0">FALSE</definedName>
    <definedName name="QBREPORTCOMPARECOL_PCTROW" localSheetId="3">FALSE</definedName>
    <definedName name="QBREPORTCOMPARECOL_PCTROW" localSheetId="4">FALSE</definedName>
    <definedName name="QBREPORTCOMPARECOL_PCTROW" localSheetId="5">FALSE</definedName>
    <definedName name="QBREPORTCOMPARECOL_PCTROW" localSheetId="6">FALSE</definedName>
    <definedName name="QBREPORTCOMPARECOL_PPDIFF" localSheetId="1">FALSE</definedName>
    <definedName name="QBREPORTCOMPARECOL_PPDIFF" localSheetId="2">FALSE</definedName>
    <definedName name="QBREPORTCOMPARECOL_PPDIFF" localSheetId="0">FALSE</definedName>
    <definedName name="QBREPORTCOMPARECOL_PPDIFF" localSheetId="3">FALSE</definedName>
    <definedName name="QBREPORTCOMPARECOL_PPDIFF" localSheetId="4">FALSE</definedName>
    <definedName name="QBREPORTCOMPARECOL_PPDIFF" localSheetId="5">FALSE</definedName>
    <definedName name="QBREPORTCOMPARECOL_PPDIFF" localSheetId="6">FALSE</definedName>
    <definedName name="QBREPORTCOMPARECOL_PPPCT" localSheetId="1">FALSE</definedName>
    <definedName name="QBREPORTCOMPARECOL_PPPCT" localSheetId="2">FALSE</definedName>
    <definedName name="QBREPORTCOMPARECOL_PPPCT" localSheetId="0">FALSE</definedName>
    <definedName name="QBREPORTCOMPARECOL_PPPCT" localSheetId="3">FALSE</definedName>
    <definedName name="QBREPORTCOMPARECOL_PPPCT" localSheetId="4">FALSE</definedName>
    <definedName name="QBREPORTCOMPARECOL_PPPCT" localSheetId="5">FALSE</definedName>
    <definedName name="QBREPORTCOMPARECOL_PPPCT" localSheetId="6">FALSE</definedName>
    <definedName name="QBREPORTCOMPARECOL_PREVPERIOD" localSheetId="1">FALSE</definedName>
    <definedName name="QBREPORTCOMPARECOL_PREVPERIOD" localSheetId="2">FALSE</definedName>
    <definedName name="QBREPORTCOMPARECOL_PREVPERIOD" localSheetId="0">FALSE</definedName>
    <definedName name="QBREPORTCOMPARECOL_PREVPERIOD" localSheetId="3">FALSE</definedName>
    <definedName name="QBREPORTCOMPARECOL_PREVPERIOD" localSheetId="4">FALSE</definedName>
    <definedName name="QBREPORTCOMPARECOL_PREVPERIOD" localSheetId="5">FALSE</definedName>
    <definedName name="QBREPORTCOMPARECOL_PREVPERIOD" localSheetId="6">FALSE</definedName>
    <definedName name="QBREPORTCOMPARECOL_PREVYEAR" localSheetId="1">FALSE</definedName>
    <definedName name="QBREPORTCOMPARECOL_PREVYEAR" localSheetId="2">FALSE</definedName>
    <definedName name="QBREPORTCOMPARECOL_PREVYEAR" localSheetId="0">FALSE</definedName>
    <definedName name="QBREPORTCOMPARECOL_PREVYEAR" localSheetId="3">FALSE</definedName>
    <definedName name="QBREPORTCOMPARECOL_PREVYEAR" localSheetId="4">FALSE</definedName>
    <definedName name="QBREPORTCOMPARECOL_PREVYEAR" localSheetId="5">FALSE</definedName>
    <definedName name="QBREPORTCOMPARECOL_PREVYEAR" localSheetId="6">FALSE</definedName>
    <definedName name="QBREPORTCOMPARECOL_PYDIFF" localSheetId="1">FALSE</definedName>
    <definedName name="QBREPORTCOMPARECOL_PYDIFF" localSheetId="2">FALSE</definedName>
    <definedName name="QBREPORTCOMPARECOL_PYDIFF" localSheetId="0">FALSE</definedName>
    <definedName name="QBREPORTCOMPARECOL_PYDIFF" localSheetId="3">FALSE</definedName>
    <definedName name="QBREPORTCOMPARECOL_PYDIFF" localSheetId="4">FALSE</definedName>
    <definedName name="QBREPORTCOMPARECOL_PYDIFF" localSheetId="5">FALSE</definedName>
    <definedName name="QBREPORTCOMPARECOL_PYDIFF" localSheetId="6">FALSE</definedName>
    <definedName name="QBREPORTCOMPARECOL_PYPCT" localSheetId="1">FALSE</definedName>
    <definedName name="QBREPORTCOMPARECOL_PYPCT" localSheetId="2">FALSE</definedName>
    <definedName name="QBREPORTCOMPARECOL_PYPCT" localSheetId="0">FALSE</definedName>
    <definedName name="QBREPORTCOMPARECOL_PYPCT" localSheetId="3">FALSE</definedName>
    <definedName name="QBREPORTCOMPARECOL_PYPCT" localSheetId="4">FALSE</definedName>
    <definedName name="QBREPORTCOMPARECOL_PYPCT" localSheetId="5">FALSE</definedName>
    <definedName name="QBREPORTCOMPARECOL_PYPCT" localSheetId="6">FALSE</definedName>
    <definedName name="QBREPORTCOMPARECOL_QTY" localSheetId="1">FALSE</definedName>
    <definedName name="QBREPORTCOMPARECOL_QTY" localSheetId="2">FALSE</definedName>
    <definedName name="QBREPORTCOMPARECOL_QTY" localSheetId="0">FALSE</definedName>
    <definedName name="QBREPORTCOMPARECOL_QTY" localSheetId="3">FALSE</definedName>
    <definedName name="QBREPORTCOMPARECOL_QTY" localSheetId="4">FALSE</definedName>
    <definedName name="QBREPORTCOMPARECOL_QTY" localSheetId="5">FALSE</definedName>
    <definedName name="QBREPORTCOMPARECOL_QTY" localSheetId="6">FALSE</definedName>
    <definedName name="QBREPORTCOMPARECOL_RATE" localSheetId="1">FALSE</definedName>
    <definedName name="QBREPORTCOMPARECOL_RATE" localSheetId="2">FALSE</definedName>
    <definedName name="QBREPORTCOMPARECOL_RATE" localSheetId="0">FALSE</definedName>
    <definedName name="QBREPORTCOMPARECOL_RATE" localSheetId="3">FALSE</definedName>
    <definedName name="QBREPORTCOMPARECOL_RATE" localSheetId="4">FALSE</definedName>
    <definedName name="QBREPORTCOMPARECOL_RATE" localSheetId="5">FALSE</definedName>
    <definedName name="QBREPORTCOMPARECOL_RATE" localSheetId="6">FALSE</definedName>
    <definedName name="QBREPORTCOMPARECOL_TRIPBILLEDMILES" localSheetId="1">FALSE</definedName>
    <definedName name="QBREPORTCOMPARECOL_TRIPBILLEDMILES" localSheetId="2">FALSE</definedName>
    <definedName name="QBREPORTCOMPARECOL_TRIPBILLEDMILES" localSheetId="0">FALSE</definedName>
    <definedName name="QBREPORTCOMPARECOL_TRIPBILLEDMILES" localSheetId="3">FALSE</definedName>
    <definedName name="QBREPORTCOMPARECOL_TRIPBILLEDMILES" localSheetId="4">FALSE</definedName>
    <definedName name="QBREPORTCOMPARECOL_TRIPBILLEDMILES" localSheetId="5">FALSE</definedName>
    <definedName name="QBREPORTCOMPARECOL_TRIPBILLEDMILES" localSheetId="6">FALSE</definedName>
    <definedName name="QBREPORTCOMPARECOL_TRIPBILLINGAMOUNT" localSheetId="1">FALSE</definedName>
    <definedName name="QBREPORTCOMPARECOL_TRIPBILLINGAMOUNT" localSheetId="2">FALSE</definedName>
    <definedName name="QBREPORTCOMPARECOL_TRIPBILLINGAMOUNT" localSheetId="0">FALSE</definedName>
    <definedName name="QBREPORTCOMPARECOL_TRIPBILLINGAMOUNT" localSheetId="3">FALSE</definedName>
    <definedName name="QBREPORTCOMPARECOL_TRIPBILLINGAMOUNT" localSheetId="4">FALSE</definedName>
    <definedName name="QBREPORTCOMPARECOL_TRIPBILLINGAMOUNT" localSheetId="5">FALSE</definedName>
    <definedName name="QBREPORTCOMPARECOL_TRIPBILLINGAMOUNT" localSheetId="6">FALSE</definedName>
    <definedName name="QBREPORTCOMPARECOL_TRIPMILES" localSheetId="1">FALSE</definedName>
    <definedName name="QBREPORTCOMPARECOL_TRIPMILES" localSheetId="2">FALSE</definedName>
    <definedName name="QBREPORTCOMPARECOL_TRIPMILES" localSheetId="0">FALSE</definedName>
    <definedName name="QBREPORTCOMPARECOL_TRIPMILES" localSheetId="3">FALSE</definedName>
    <definedName name="QBREPORTCOMPARECOL_TRIPMILES" localSheetId="4">FALSE</definedName>
    <definedName name="QBREPORTCOMPARECOL_TRIPMILES" localSheetId="5">FALSE</definedName>
    <definedName name="QBREPORTCOMPARECOL_TRIPMILES" localSheetId="6">FALSE</definedName>
    <definedName name="QBREPORTCOMPARECOL_TRIPNOTBILLABLEMILES" localSheetId="1">FALSE</definedName>
    <definedName name="QBREPORTCOMPARECOL_TRIPNOTBILLABLEMILES" localSheetId="2">FALSE</definedName>
    <definedName name="QBREPORTCOMPARECOL_TRIPNOTBILLABLEMILES" localSheetId="0">FALSE</definedName>
    <definedName name="QBREPORTCOMPARECOL_TRIPNOTBILLABLEMILES" localSheetId="3">FALSE</definedName>
    <definedName name="QBREPORTCOMPARECOL_TRIPNOTBILLABLEMILES" localSheetId="4">FALSE</definedName>
    <definedName name="QBREPORTCOMPARECOL_TRIPNOTBILLABLEMILES" localSheetId="5">FALSE</definedName>
    <definedName name="QBREPORTCOMPARECOL_TRIPNOTBILLABLEMILES" localSheetId="6">FALSE</definedName>
    <definedName name="QBREPORTCOMPARECOL_TRIPTAXDEDUCTIBLEAMOUNT" localSheetId="1">FALSE</definedName>
    <definedName name="QBREPORTCOMPARECOL_TRIPTAXDEDUCTIBLEAMOUNT" localSheetId="2">FALSE</definedName>
    <definedName name="QBREPORTCOMPARECOL_TRIPTAXDEDUCTIBLEAMOUNT" localSheetId="0">FALSE</definedName>
    <definedName name="QBREPORTCOMPARECOL_TRIPTAXDEDUCTIBLEAMOUNT" localSheetId="3">FALSE</definedName>
    <definedName name="QBREPORTCOMPARECOL_TRIPTAXDEDUCTIBLEAMOUNT" localSheetId="4">FALSE</definedName>
    <definedName name="QBREPORTCOMPARECOL_TRIPTAXDEDUCTIBLEAMOUNT" localSheetId="5">FALSE</definedName>
    <definedName name="QBREPORTCOMPARECOL_TRIPTAXDEDUCTIBLEAMOUNT" localSheetId="6">FALSE</definedName>
    <definedName name="QBREPORTCOMPARECOL_TRIPUNBILLEDMILES" localSheetId="1">FALSE</definedName>
    <definedName name="QBREPORTCOMPARECOL_TRIPUNBILLEDMILES" localSheetId="2">FALSE</definedName>
    <definedName name="QBREPORTCOMPARECOL_TRIPUNBILLEDMILES" localSheetId="0">FALSE</definedName>
    <definedName name="QBREPORTCOMPARECOL_TRIPUNBILLEDMILES" localSheetId="3">FALSE</definedName>
    <definedName name="QBREPORTCOMPARECOL_TRIPUNBILLEDMILES" localSheetId="4">FALSE</definedName>
    <definedName name="QBREPORTCOMPARECOL_TRIPUNBILLEDMILES" localSheetId="5">FALSE</definedName>
    <definedName name="QBREPORTCOMPARECOL_TRIPUNBILLEDMILES" localSheetId="6">FALSE</definedName>
    <definedName name="QBREPORTCOMPARECOL_YTD" localSheetId="1">FALSE</definedName>
    <definedName name="QBREPORTCOMPARECOL_YTD" localSheetId="2">FALSE</definedName>
    <definedName name="QBREPORTCOMPARECOL_YTD" localSheetId="0">FALSE</definedName>
    <definedName name="QBREPORTCOMPARECOL_YTD" localSheetId="3">FALSE</definedName>
    <definedName name="QBREPORTCOMPARECOL_YTD" localSheetId="4">FALSE</definedName>
    <definedName name="QBREPORTCOMPARECOL_YTD" localSheetId="5">FALSE</definedName>
    <definedName name="QBREPORTCOMPARECOL_YTD" localSheetId="6">FALSE</definedName>
    <definedName name="QBREPORTCOMPARECOL_YTDBUDGET" localSheetId="1">FALSE</definedName>
    <definedName name="QBREPORTCOMPARECOL_YTDBUDGET" localSheetId="2">FALSE</definedName>
    <definedName name="QBREPORTCOMPARECOL_YTDBUDGET" localSheetId="0">FALSE</definedName>
    <definedName name="QBREPORTCOMPARECOL_YTDBUDGET" localSheetId="3">FALSE</definedName>
    <definedName name="QBREPORTCOMPARECOL_YTDBUDGET" localSheetId="4">FALSE</definedName>
    <definedName name="QBREPORTCOMPARECOL_YTDBUDGET" localSheetId="5">FALSE</definedName>
    <definedName name="QBREPORTCOMPARECOL_YTDBUDGET" localSheetId="6">FALSE</definedName>
    <definedName name="QBREPORTCOMPARECOL_YTDPCT" localSheetId="1">FALSE</definedName>
    <definedName name="QBREPORTCOMPARECOL_YTDPCT" localSheetId="2">FALSE</definedName>
    <definedName name="QBREPORTCOMPARECOL_YTDPCT" localSheetId="0">FALSE</definedName>
    <definedName name="QBREPORTCOMPARECOL_YTDPCT" localSheetId="3">FALSE</definedName>
    <definedName name="QBREPORTCOMPARECOL_YTDPCT" localSheetId="4">FALSE</definedName>
    <definedName name="QBREPORTCOMPARECOL_YTDPCT" localSheetId="5">FALSE</definedName>
    <definedName name="QBREPORTCOMPARECOL_YTDPCT" localSheetId="6">FALSE</definedName>
    <definedName name="QBREPORTROWAXIS" localSheetId="1">9</definedName>
    <definedName name="QBREPORTROWAXIS" localSheetId="2">77</definedName>
    <definedName name="QBREPORTROWAXIS" localSheetId="0">11</definedName>
    <definedName name="QBREPORTROWAXIS" localSheetId="3">77</definedName>
    <definedName name="QBREPORTROWAXIS" localSheetId="4">77</definedName>
    <definedName name="QBREPORTROWAXIS" localSheetId="5">77</definedName>
    <definedName name="QBREPORTROWAXIS" localSheetId="6">77</definedName>
    <definedName name="QBREPORTSUBCOLAXIS" localSheetId="1">0</definedName>
    <definedName name="QBREPORTSUBCOLAXIS" localSheetId="2">0</definedName>
    <definedName name="QBREPORTSUBCOLAXIS" localSheetId="0">0</definedName>
    <definedName name="QBREPORTSUBCOLAXIS" localSheetId="3">0</definedName>
    <definedName name="QBREPORTSUBCOLAXIS" localSheetId="4">0</definedName>
    <definedName name="QBREPORTSUBCOLAXIS" localSheetId="5">0</definedName>
    <definedName name="QBREPORTSUBCOLAXIS" localSheetId="6">0</definedName>
    <definedName name="QBREPORTTYPE" localSheetId="1">5</definedName>
    <definedName name="QBREPORTTYPE" localSheetId="2">238</definedName>
    <definedName name="QBREPORTTYPE" localSheetId="0">0</definedName>
    <definedName name="QBREPORTTYPE" localSheetId="3">238</definedName>
    <definedName name="QBREPORTTYPE" localSheetId="4">238</definedName>
    <definedName name="QBREPORTTYPE" localSheetId="5">238</definedName>
    <definedName name="QBREPORTTYPE" localSheetId="6">238</definedName>
    <definedName name="QBROWHEADERS" localSheetId="1">6</definedName>
    <definedName name="QBROWHEADERS" localSheetId="2">5</definedName>
    <definedName name="QBROWHEADERS" localSheetId="0">5</definedName>
    <definedName name="QBROWHEADERS" localSheetId="3">5</definedName>
    <definedName name="QBROWHEADERS" localSheetId="4">5</definedName>
    <definedName name="QBROWHEADERS" localSheetId="5">5</definedName>
    <definedName name="QBROWHEADERS" localSheetId="6">5</definedName>
    <definedName name="QBSTARTDATE" localSheetId="1">20250101</definedName>
    <definedName name="QBSTARTDATE" localSheetId="2">20250101</definedName>
    <definedName name="QBSTARTDATE" localSheetId="0">20250101</definedName>
    <definedName name="QBSTARTDATE" localSheetId="3">20250101</definedName>
    <definedName name="QBSTARTDATE" localSheetId="4">20250401</definedName>
    <definedName name="QBSTARTDATE" localSheetId="5">20250701</definedName>
    <definedName name="QBSTARTDATE" localSheetId="6">20251001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9" l="1"/>
  <c r="F21" i="9"/>
  <c r="F18" i="9"/>
  <c r="F31" i="9" s="1"/>
  <c r="F33" i="9" s="1"/>
  <c r="F26" i="8"/>
  <c r="F24" i="8"/>
  <c r="F23" i="8"/>
  <c r="F16" i="8"/>
  <c r="F13" i="8"/>
  <c r="F22" i="7"/>
  <c r="F20" i="7"/>
  <c r="F19" i="7"/>
  <c r="F14" i="7"/>
  <c r="F11" i="7"/>
  <c r="F30" i="6"/>
  <c r="F28" i="6"/>
  <c r="F27" i="6"/>
  <c r="F21" i="6"/>
  <c r="F18" i="6"/>
  <c r="F23" i="5"/>
  <c r="F21" i="5"/>
  <c r="F20" i="5"/>
  <c r="F16" i="5"/>
  <c r="F13" i="5"/>
  <c r="L71" i="4"/>
  <c r="J71" i="4"/>
  <c r="H71" i="4"/>
  <c r="F71" i="4"/>
  <c r="N70" i="4"/>
  <c r="L68" i="4"/>
  <c r="J68" i="4"/>
  <c r="J72" i="4" s="1"/>
  <c r="H68" i="4"/>
  <c r="F68" i="4"/>
  <c r="N67" i="4"/>
  <c r="N66" i="4"/>
  <c r="L61" i="4"/>
  <c r="J61" i="4"/>
  <c r="H61" i="4"/>
  <c r="F61" i="4"/>
  <c r="N60" i="4"/>
  <c r="N59" i="4"/>
  <c r="N58" i="4"/>
  <c r="N57" i="4"/>
  <c r="N56" i="4"/>
  <c r="N54" i="4"/>
  <c r="N53" i="4"/>
  <c r="L52" i="4"/>
  <c r="J52" i="4"/>
  <c r="H52" i="4"/>
  <c r="F52" i="4"/>
  <c r="N51" i="4"/>
  <c r="N50" i="4"/>
  <c r="N49" i="4"/>
  <c r="N48" i="4"/>
  <c r="N46" i="4"/>
  <c r="N45" i="4"/>
  <c r="L44" i="4"/>
  <c r="J44" i="4"/>
  <c r="H44" i="4"/>
  <c r="F44" i="4"/>
  <c r="N43" i="4"/>
  <c r="N42" i="4"/>
  <c r="N40" i="4"/>
  <c r="N39" i="4"/>
  <c r="N38" i="4"/>
  <c r="N37" i="4"/>
  <c r="N36" i="4"/>
  <c r="L35" i="4"/>
  <c r="J35" i="4"/>
  <c r="H35" i="4"/>
  <c r="F35" i="4"/>
  <c r="N34" i="4"/>
  <c r="N33" i="4"/>
  <c r="N31" i="4"/>
  <c r="N30" i="4"/>
  <c r="N29" i="4"/>
  <c r="L28" i="4"/>
  <c r="J28" i="4"/>
  <c r="H28" i="4"/>
  <c r="F28" i="4"/>
  <c r="N27" i="4"/>
  <c r="N26" i="4"/>
  <c r="N24" i="4"/>
  <c r="N23" i="4"/>
  <c r="N22" i="4"/>
  <c r="N21" i="4"/>
  <c r="N20" i="4"/>
  <c r="N19" i="4"/>
  <c r="N18" i="4"/>
  <c r="N17" i="4"/>
  <c r="N16" i="4"/>
  <c r="L15" i="4"/>
  <c r="J15" i="4"/>
  <c r="H15" i="4"/>
  <c r="F15" i="4"/>
  <c r="N14" i="4"/>
  <c r="N13" i="4"/>
  <c r="N11" i="4"/>
  <c r="N10" i="4"/>
  <c r="N9" i="4"/>
  <c r="N8" i="4"/>
  <c r="L6" i="4"/>
  <c r="J6" i="4"/>
  <c r="H6" i="4"/>
  <c r="F6" i="4"/>
  <c r="N5" i="4"/>
  <c r="N4" i="4"/>
  <c r="M76" i="1"/>
  <c r="K76" i="1"/>
  <c r="I76" i="1"/>
  <c r="G76" i="1"/>
  <c r="M75" i="1"/>
  <c r="K75" i="1"/>
  <c r="I75" i="1"/>
  <c r="G75" i="1"/>
  <c r="M67" i="1"/>
  <c r="K67" i="1"/>
  <c r="I67" i="1"/>
  <c r="G67" i="1"/>
  <c r="M66" i="1"/>
  <c r="K66" i="1"/>
  <c r="I66" i="1"/>
  <c r="G66" i="1"/>
  <c r="M61" i="1"/>
  <c r="K61" i="1"/>
  <c r="I61" i="1"/>
  <c r="G61" i="1"/>
  <c r="M60" i="1"/>
  <c r="K60" i="1"/>
  <c r="I60" i="1"/>
  <c r="G60" i="1"/>
  <c r="M53" i="1"/>
  <c r="K53" i="1"/>
  <c r="I53" i="1"/>
  <c r="G53" i="1"/>
  <c r="M52" i="1"/>
  <c r="K52" i="1"/>
  <c r="I52" i="1"/>
  <c r="G52" i="1"/>
  <c r="M44" i="1"/>
  <c r="K44" i="1"/>
  <c r="I44" i="1"/>
  <c r="G44" i="1"/>
  <c r="M36" i="1"/>
  <c r="K36" i="1"/>
  <c r="I36" i="1"/>
  <c r="G36" i="1"/>
  <c r="M30" i="1"/>
  <c r="K30" i="1"/>
  <c r="I30" i="1"/>
  <c r="G30" i="1"/>
  <c r="M29" i="1"/>
  <c r="K29" i="1"/>
  <c r="I29" i="1"/>
  <c r="G29" i="1"/>
  <c r="M27" i="1"/>
  <c r="K27" i="1"/>
  <c r="I27" i="1"/>
  <c r="G27" i="1"/>
  <c r="M20" i="1"/>
  <c r="K20" i="1"/>
  <c r="I20" i="1"/>
  <c r="G20" i="1"/>
  <c r="M16" i="1"/>
  <c r="K16" i="1"/>
  <c r="I16" i="1"/>
  <c r="G16" i="1"/>
  <c r="M15" i="1"/>
  <c r="K15" i="1"/>
  <c r="I15" i="1"/>
  <c r="G15" i="1"/>
  <c r="M9" i="1"/>
  <c r="K9" i="1"/>
  <c r="I9" i="1"/>
  <c r="G9" i="1"/>
  <c r="F62" i="4" l="1"/>
  <c r="F63" i="4" s="1"/>
  <c r="N52" i="4"/>
  <c r="N15" i="4"/>
  <c r="N28" i="4"/>
  <c r="N44" i="4"/>
  <c r="J62" i="4"/>
  <c r="J63" i="4" s="1"/>
  <c r="J73" i="4" s="1"/>
  <c r="N68" i="4"/>
  <c r="L72" i="4"/>
  <c r="H62" i="4"/>
  <c r="N35" i="4"/>
  <c r="L62" i="4"/>
  <c r="L63" i="4" s="1"/>
  <c r="H72" i="4"/>
  <c r="N71" i="4"/>
  <c r="N6" i="4"/>
  <c r="N61" i="4"/>
  <c r="F72" i="4"/>
  <c r="L73" i="4" l="1"/>
  <c r="N62" i="4"/>
  <c r="F73" i="4"/>
  <c r="H63" i="4"/>
  <c r="H73" i="4" s="1"/>
  <c r="N72" i="4"/>
  <c r="N73" i="4" l="1"/>
  <c r="N63" i="4"/>
</calcChain>
</file>

<file path=xl/sharedStrings.xml><?xml version="1.0" encoding="utf-8"?>
<sst xmlns="http://schemas.openxmlformats.org/spreadsheetml/2006/main" count="290" uniqueCount="172">
  <si>
    <t>Mar 31, 25</t>
  </si>
  <si>
    <t>Jun 30, 25</t>
  </si>
  <si>
    <t>Sep 30, 25</t>
  </si>
  <si>
    <t>Dec 31, 25</t>
  </si>
  <si>
    <t>ASSETS</t>
  </si>
  <si>
    <t>Current Assets</t>
  </si>
  <si>
    <t>Checking/Savings</t>
  </si>
  <si>
    <t>10100 · Checking 3510</t>
  </si>
  <si>
    <t>10150 · Savings 6509</t>
  </si>
  <si>
    <t>10200 · Mercury Checking 1631</t>
  </si>
  <si>
    <t>10250 · Mercury Checking  8838/9619</t>
  </si>
  <si>
    <t>Total Checking/Savings</t>
  </si>
  <si>
    <t>Other Current Assets</t>
  </si>
  <si>
    <t>11050 · Disputed Charge Receivable</t>
  </si>
  <si>
    <t>11100 · Employee Advance</t>
  </si>
  <si>
    <t>11150 · Prepaid Expenses</t>
  </si>
  <si>
    <t>11200 · Income Tax Refund Receivable</t>
  </si>
  <si>
    <t>Total Other Current Assets</t>
  </si>
  <si>
    <t>Total Current Assets</t>
  </si>
  <si>
    <t>Fixed Assets</t>
  </si>
  <si>
    <t>15000 · Furniture and Equipment</t>
  </si>
  <si>
    <t>17000 · Accumulated Depreciation</t>
  </si>
  <si>
    <t>Total Fixed Assets</t>
  </si>
  <si>
    <t>Other Assets</t>
  </si>
  <si>
    <t>18000 · Capitalized Sec 174 R&amp;D Expense</t>
  </si>
  <si>
    <t>18100 · Sec 174 Research Expenses -2022</t>
  </si>
  <si>
    <t>18110 · Sec 174 Research Expenses -2023</t>
  </si>
  <si>
    <t>18120 · Sec 174 Research Expenses -2024</t>
  </si>
  <si>
    <t>18999 · Accumulated Amortization</t>
  </si>
  <si>
    <t>Total 18000 · Capitalized Sec 174 R&amp;D Expense</t>
  </si>
  <si>
    <t>19500 · Security Deposits</t>
  </si>
  <si>
    <t>Total Other Assets</t>
  </si>
  <si>
    <t>TOTAL ASSETS</t>
  </si>
  <si>
    <t>LIABILITIES &amp; EQUITY</t>
  </si>
  <si>
    <t>Liabilities</t>
  </si>
  <si>
    <t>Current Liabilities</t>
  </si>
  <si>
    <t>Accounts Payable</t>
  </si>
  <si>
    <t>20000 · Accounts Payable</t>
  </si>
  <si>
    <t>Total Accounts Payable</t>
  </si>
  <si>
    <t>Credit Cards</t>
  </si>
  <si>
    <t>20100 · Business Card 1035</t>
  </si>
  <si>
    <t>20110 · Business Card 5988 Stephen</t>
  </si>
  <si>
    <t>20120 · Business Card 1868 Aditi</t>
  </si>
  <si>
    <t>20130 · Business Card 7918 Duy</t>
  </si>
  <si>
    <t>20140 · Business Card 2624 Bharati</t>
  </si>
  <si>
    <t>Total 20100 · Business Card 1035</t>
  </si>
  <si>
    <t>20200 · Business Card 4078</t>
  </si>
  <si>
    <t>20210 · Business Card Sub 5676- Gopi</t>
  </si>
  <si>
    <t>20220 · Business Card Sub 9598 - Stephe</t>
  </si>
  <si>
    <t>20230 · Business Card Sub 5506 Aditi</t>
  </si>
  <si>
    <t>20240 · Business Card Sub 0950- Duy</t>
  </si>
  <si>
    <t>20250 · Business Card Sub1189 - Anand</t>
  </si>
  <si>
    <t>Total 20200 · Business Card 4078</t>
  </si>
  <si>
    <t>Total Credit Cards</t>
  </si>
  <si>
    <t>Other Current Liabilities</t>
  </si>
  <si>
    <t>21100 · Accd Interest-Conv Note-Current</t>
  </si>
  <si>
    <t>21150 · Federal Corporate Taxes Payable</t>
  </si>
  <si>
    <t>21180 · Accrued Expenses</t>
  </si>
  <si>
    <t>21200 · State Taxes Payable</t>
  </si>
  <si>
    <t>24000 · Payroll Liabilities</t>
  </si>
  <si>
    <t>Total Other Current Liabilities</t>
  </si>
  <si>
    <t>Total Current Liabilities</t>
  </si>
  <si>
    <t>Long Term Liabilities</t>
  </si>
  <si>
    <t>25100 · Investment - Convertible Note</t>
  </si>
  <si>
    <t>25200 · Accd Interest-Conv Note-L/Term</t>
  </si>
  <si>
    <t>28000 · Loans from shareholders</t>
  </si>
  <si>
    <t>Total Long Term Liabilities</t>
  </si>
  <si>
    <t>Total Liabilities</t>
  </si>
  <si>
    <t>Equity</t>
  </si>
  <si>
    <t>30100 · Capital Stock -Common</t>
  </si>
  <si>
    <t>30110 · APIC</t>
  </si>
  <si>
    <t>30120 · APIC - ISO</t>
  </si>
  <si>
    <t>30500 · Prior Period Adjustment-CIE</t>
  </si>
  <si>
    <t>32000 · Retained Earnings</t>
  </si>
  <si>
    <t>Net Income</t>
  </si>
  <si>
    <t>Total Equity</t>
  </si>
  <si>
    <t>TOTAL LIABILITIES &amp; EQUITY</t>
  </si>
  <si>
    <t>Jan - Mar 25</t>
  </si>
  <si>
    <t>Apr - Jun 25</t>
  </si>
  <si>
    <t>Jul - Sep 25</t>
  </si>
  <si>
    <t>Oct - Dec 25</t>
  </si>
  <si>
    <t>TOTAL</t>
  </si>
  <si>
    <t>Ordinary Income/Expense</t>
  </si>
  <si>
    <t>Income</t>
  </si>
  <si>
    <t>40000 · Research Award-SBIR</t>
  </si>
  <si>
    <t>42700 · Consulting Income</t>
  </si>
  <si>
    <t>Total Income</t>
  </si>
  <si>
    <t>Expense</t>
  </si>
  <si>
    <t>60000 · Advertising and Promotion</t>
  </si>
  <si>
    <t>60100 · Accounting</t>
  </si>
  <si>
    <t>60110 · Amortization Expense</t>
  </si>
  <si>
    <t>60130 · Business Meals</t>
  </si>
  <si>
    <t>60140 · Contractors/Outside Services</t>
  </si>
  <si>
    <t>Contractors</t>
  </si>
  <si>
    <t>60140 · Contractors/Outside Services - Other</t>
  </si>
  <si>
    <t>Total 60140 · Contractors/Outside Services</t>
  </si>
  <si>
    <t>60150 · Donation</t>
  </si>
  <si>
    <t>60190 · Federal/State Filing Fees</t>
  </si>
  <si>
    <t>60200 · Automobile Expense</t>
  </si>
  <si>
    <t>60220 · ISO Compensation</t>
  </si>
  <si>
    <t>60240 · Job Supplies</t>
  </si>
  <si>
    <t>60260 · Office Expense</t>
  </si>
  <si>
    <t>60270 · Payroll Fees</t>
  </si>
  <si>
    <t>60290 · Postage and Delivery</t>
  </si>
  <si>
    <t>60350 · Reimbursements</t>
  </si>
  <si>
    <t>60360 · Research  Project Supplies</t>
  </si>
  <si>
    <t>Sec 174 Supplies</t>
  </si>
  <si>
    <t>60360 · Research  Project Supplies - Other</t>
  </si>
  <si>
    <t>Total 60360 · Research  Project Supplies</t>
  </si>
  <si>
    <t>60370 · Royalties</t>
  </si>
  <si>
    <t>60400 · Bank Service Charges</t>
  </si>
  <si>
    <t>60410 · Software</t>
  </si>
  <si>
    <t>60420 · Taxes</t>
  </si>
  <si>
    <t>Federal</t>
  </si>
  <si>
    <t>State Taxes</t>
  </si>
  <si>
    <t>Total 60420 · Taxes</t>
  </si>
  <si>
    <t>60430 · Tolls and Parking</t>
  </si>
  <si>
    <t>60450 · Trade Show</t>
  </si>
  <si>
    <t>60480 · Website</t>
  </si>
  <si>
    <t>62400 · Depreciation Expense</t>
  </si>
  <si>
    <t>62500 · Dues and Subscriptions</t>
  </si>
  <si>
    <t>63300 · Insurance Expense</t>
  </si>
  <si>
    <t>63310 · General Liability Insurance</t>
  </si>
  <si>
    <t>63300 · Insurance Expense - Other</t>
  </si>
  <si>
    <t>Total 63300 · Insurance Expense</t>
  </si>
  <si>
    <t>63400 · Interest Expense</t>
  </si>
  <si>
    <t>64900 · Office Supplies</t>
  </si>
  <si>
    <t>66000 · Payroll Expenses</t>
  </si>
  <si>
    <t>Non Officer Wages</t>
  </si>
  <si>
    <t>Officer Compensation</t>
  </si>
  <si>
    <t>Payroll Taxes</t>
  </si>
  <si>
    <t>QSEHRA</t>
  </si>
  <si>
    <t>Total 66000 · Payroll Expenses</t>
  </si>
  <si>
    <t>66700 · Legal and Professional Fees</t>
  </si>
  <si>
    <t>67100 · Rent Expense</t>
  </si>
  <si>
    <t>68400 · Travel Expense</t>
  </si>
  <si>
    <t>Airfare</t>
  </si>
  <si>
    <t>Lodging</t>
  </si>
  <si>
    <t>Meals</t>
  </si>
  <si>
    <t>Transportation</t>
  </si>
  <si>
    <t>68400 · Travel Expense - Other</t>
  </si>
  <si>
    <t>Total 68400 · Travel Expense</t>
  </si>
  <si>
    <t>Total Expense</t>
  </si>
  <si>
    <t>Net Ordinary Income</t>
  </si>
  <si>
    <t>Other Income/Expense</t>
  </si>
  <si>
    <t>Other Income</t>
  </si>
  <si>
    <t>43000 · Interest</t>
  </si>
  <si>
    <t>44000 · Rebates</t>
  </si>
  <si>
    <t>Total Other Income</t>
  </si>
  <si>
    <t>Other Expense</t>
  </si>
  <si>
    <t>60995 · Other Expense</t>
  </si>
  <si>
    <t>Total Other Expense</t>
  </si>
  <si>
    <t>Net Other Income</t>
  </si>
  <si>
    <t>20100 · Business Card 1035 - Payments</t>
  </si>
  <si>
    <t>20200 · Business Card 4078 - Payments</t>
  </si>
  <si>
    <t>OPERATING ACTIVITIES</t>
  </si>
  <si>
    <t>Adjustments to reconcile Net Income</t>
  </si>
  <si>
    <t>to net cash provided by operations:</t>
  </si>
  <si>
    <t>20100 · Business Card 1035:20120 · Business Card 1868 Aditi</t>
  </si>
  <si>
    <t>20100 · Business Card 1035:20140 · Business Card 2624 Bharati</t>
  </si>
  <si>
    <t>20100 · Business Card 1035:20110 · Business Card 5988 Stephen</t>
  </si>
  <si>
    <t>20100 · Business Card 1035:20130 · Business Card 7918 Duy</t>
  </si>
  <si>
    <t>Net cash provided by Operating Activities</t>
  </si>
  <si>
    <t>INVESTING ACTIVITIES</t>
  </si>
  <si>
    <t>18000 · Capitalized Sec 174 R&amp;D Expense:18999 · Accumulated Amortization</t>
  </si>
  <si>
    <t>Net cash provided by Investing Activities</t>
  </si>
  <si>
    <t>FINANCING ACTIVITIES</t>
  </si>
  <si>
    <t>Net cash provided by Financing Activities</t>
  </si>
  <si>
    <t>Net cash increase for period</t>
  </si>
  <si>
    <t>Cash at beginning of period</t>
  </si>
  <si>
    <t>Cash at end of period</t>
  </si>
  <si>
    <t>Jan - Dec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</si>
</sst>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5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49" fontId="2" fillId="0" borderId="0" xfId="0" applyNumberFormat="1" applyFont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5" xfId="0" applyNumberFormat="1" applyFont="1" applyBorder="1"/>
    <xf numFmtId="164" fontId="1" fillId="0" borderId="4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/>
    <xf numFmtId="164" fontId="4" fillId="0" borderId="0" xfId="0" applyNumberFormat="1" applyFont="1"/>
    <xf numFmtId="164" fontId="4" fillId="0" borderId="2" xfId="0" applyNumberFormat="1" applyFont="1" applyBorder="1"/>
    <xf numFmtId="164" fontId="4" fillId="0" borderId="3" xfId="0" applyNumberFormat="1" applyFont="1" applyBorder="1"/>
    <xf numFmtId="164" fontId="3" fillId="0" borderId="4" xfId="0" applyNumberFormat="1" applyFont="1" applyBorder="1"/>
    <xf numFmtId="0" fontId="3" fillId="0" borderId="0" xfId="0" applyFont="1"/>
    <xf numFmtId="49" fontId="3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4680-BD8B-44F8-B382-FD3A07EFC263}">
  <dimension ref="A1:N74"/>
  <sheetViews>
    <sheetView tabSelected="1" zoomScale="140" zoomScaleNormal="140" workbookViewId="0">
      <selection activeCell="Q18" sqref="Q18"/>
    </sheetView>
  </sheetViews>
  <sheetFormatPr baseColWidth="10" defaultColWidth="8.83203125" defaultRowHeight="15" outlineLevelCol="1" x14ac:dyDescent="0.2"/>
  <cols>
    <col min="1" max="4" width="3" style="8" customWidth="1"/>
    <col min="5" max="5" width="36.6640625" style="8" customWidth="1"/>
    <col min="6" max="6" width="10.33203125" hidden="1" customWidth="1" outlineLevel="1"/>
    <col min="7" max="7" width="2.33203125" hidden="1" customWidth="1" outlineLevel="1"/>
    <col min="8" max="8" width="10.33203125" hidden="1" customWidth="1" outlineLevel="1"/>
    <col min="9" max="9" width="2.33203125" hidden="1" customWidth="1" outlineLevel="1"/>
    <col min="10" max="10" width="9.83203125" hidden="1" customWidth="1" outlineLevel="1"/>
    <col min="11" max="11" width="2.33203125" hidden="1" customWidth="1" outlineLevel="1"/>
    <col min="12" max="12" width="10" hidden="1" customWidth="1" outlineLevel="1"/>
    <col min="13" max="13" width="2.33203125" customWidth="1" collapsed="1"/>
    <col min="14" max="14" width="10" bestFit="1" customWidth="1"/>
  </cols>
  <sheetData>
    <row r="1" spans="1:14" s="12" customFormat="1" ht="16" thickBot="1" x14ac:dyDescent="0.25">
      <c r="A1" s="9"/>
      <c r="B1" s="9"/>
      <c r="C1" s="9"/>
      <c r="D1" s="9"/>
      <c r="E1" s="9"/>
      <c r="F1" s="10" t="s">
        <v>77</v>
      </c>
      <c r="G1" s="11"/>
      <c r="H1" s="10" t="s">
        <v>78</v>
      </c>
      <c r="I1" s="11"/>
      <c r="J1" s="10" t="s">
        <v>79</v>
      </c>
      <c r="K1" s="11"/>
      <c r="L1" s="10" t="s">
        <v>80</v>
      </c>
      <c r="M1" s="11"/>
      <c r="N1" s="10" t="s">
        <v>81</v>
      </c>
    </row>
    <row r="2" spans="1:14" ht="16" thickTop="1" x14ac:dyDescent="0.2">
      <c r="A2" s="1"/>
      <c r="B2" s="1" t="s">
        <v>82</v>
      </c>
      <c r="C2" s="1"/>
      <c r="D2" s="1"/>
      <c r="E2" s="1"/>
      <c r="F2" s="2"/>
      <c r="G2" s="3"/>
      <c r="H2" s="2"/>
      <c r="I2" s="3"/>
      <c r="J2" s="2"/>
      <c r="K2" s="3"/>
      <c r="L2" s="2"/>
      <c r="M2" s="3"/>
      <c r="N2" s="2"/>
    </row>
    <row r="3" spans="1:14" x14ac:dyDescent="0.2">
      <c r="A3" s="1"/>
      <c r="B3" s="1"/>
      <c r="C3" s="1" t="s">
        <v>83</v>
      </c>
      <c r="D3" s="1"/>
      <c r="E3" s="1"/>
      <c r="F3" s="2"/>
      <c r="G3" s="3"/>
      <c r="H3" s="2"/>
      <c r="I3" s="3"/>
      <c r="J3" s="2"/>
      <c r="K3" s="3"/>
      <c r="L3" s="2"/>
      <c r="M3" s="3"/>
      <c r="N3" s="2"/>
    </row>
    <row r="4" spans="1:14" x14ac:dyDescent="0.2">
      <c r="A4" s="1"/>
      <c r="B4" s="1"/>
      <c r="C4" s="1"/>
      <c r="D4" s="1" t="s">
        <v>84</v>
      </c>
      <c r="E4" s="1"/>
      <c r="F4" s="2">
        <v>300000</v>
      </c>
      <c r="G4" s="3"/>
      <c r="H4" s="2">
        <v>129766</v>
      </c>
      <c r="I4" s="3"/>
      <c r="J4" s="2">
        <v>0</v>
      </c>
      <c r="K4" s="3"/>
      <c r="L4" s="2">
        <v>0</v>
      </c>
      <c r="M4" s="3"/>
      <c r="N4" s="2">
        <f>ROUND(SUM(F4:L4),5)</f>
        <v>429766</v>
      </c>
    </row>
    <row r="5" spans="1:14" ht="16" thickBot="1" x14ac:dyDescent="0.25">
      <c r="A5" s="1"/>
      <c r="B5" s="1"/>
      <c r="C5" s="1"/>
      <c r="D5" s="1" t="s">
        <v>85</v>
      </c>
      <c r="E5" s="1"/>
      <c r="F5" s="4">
        <v>1720</v>
      </c>
      <c r="G5" s="3"/>
      <c r="H5" s="4">
        <v>13000</v>
      </c>
      <c r="I5" s="3"/>
      <c r="J5" s="4">
        <v>31800</v>
      </c>
      <c r="K5" s="3"/>
      <c r="L5" s="4">
        <v>3500</v>
      </c>
      <c r="M5" s="3"/>
      <c r="N5" s="4">
        <f>ROUND(SUM(F5:L5),5)</f>
        <v>50020</v>
      </c>
    </row>
    <row r="6" spans="1:14" x14ac:dyDescent="0.2">
      <c r="A6" s="1"/>
      <c r="B6" s="1"/>
      <c r="C6" s="1" t="s">
        <v>86</v>
      </c>
      <c r="D6" s="1"/>
      <c r="E6" s="1"/>
      <c r="F6" s="2">
        <f>ROUND(SUM(F3:F5),5)</f>
        <v>301720</v>
      </c>
      <c r="G6" s="3"/>
      <c r="H6" s="2">
        <f>ROUND(SUM(H3:H5),5)</f>
        <v>142766</v>
      </c>
      <c r="I6" s="3"/>
      <c r="J6" s="2">
        <f>ROUND(SUM(J3:J5),5)</f>
        <v>31800</v>
      </c>
      <c r="K6" s="3"/>
      <c r="L6" s="2">
        <f>ROUND(SUM(L3:L5),5)</f>
        <v>3500</v>
      </c>
      <c r="M6" s="3"/>
      <c r="N6" s="2">
        <f>ROUND(SUM(F6:L6),5)</f>
        <v>479786</v>
      </c>
    </row>
    <row r="7" spans="1:14" x14ac:dyDescent="0.2">
      <c r="A7" s="1"/>
      <c r="B7" s="1"/>
      <c r="C7" s="1" t="s">
        <v>87</v>
      </c>
      <c r="D7" s="1"/>
      <c r="E7" s="1"/>
      <c r="F7" s="2"/>
      <c r="G7" s="3"/>
      <c r="H7" s="2"/>
      <c r="I7" s="3"/>
      <c r="J7" s="2"/>
      <c r="K7" s="3"/>
      <c r="L7" s="2"/>
      <c r="M7" s="3"/>
      <c r="N7" s="2"/>
    </row>
    <row r="8" spans="1:14" x14ac:dyDescent="0.2">
      <c r="A8" s="1"/>
      <c r="B8" s="1"/>
      <c r="C8" s="1"/>
      <c r="D8" s="1" t="s">
        <v>88</v>
      </c>
      <c r="E8" s="1"/>
      <c r="F8" s="2">
        <v>0</v>
      </c>
      <c r="G8" s="3"/>
      <c r="H8" s="2">
        <v>600</v>
      </c>
      <c r="I8" s="3"/>
      <c r="J8" s="2">
        <v>0</v>
      </c>
      <c r="K8" s="3"/>
      <c r="L8" s="2">
        <v>0</v>
      </c>
      <c r="M8" s="3"/>
      <c r="N8" s="2">
        <f>ROUND(SUM(F8:L8),5)</f>
        <v>600</v>
      </c>
    </row>
    <row r="9" spans="1:14" x14ac:dyDescent="0.2">
      <c r="A9" s="1"/>
      <c r="B9" s="1"/>
      <c r="C9" s="1"/>
      <c r="D9" s="1" t="s">
        <v>89</v>
      </c>
      <c r="E9" s="1"/>
      <c r="F9" s="2">
        <v>730</v>
      </c>
      <c r="G9" s="3"/>
      <c r="H9" s="2">
        <v>1845</v>
      </c>
      <c r="I9" s="3"/>
      <c r="J9" s="2">
        <v>1095</v>
      </c>
      <c r="K9" s="3"/>
      <c r="L9" s="2">
        <v>4805</v>
      </c>
      <c r="M9" s="3"/>
      <c r="N9" s="2">
        <f>ROUND(SUM(F9:L9),5)</f>
        <v>8475</v>
      </c>
    </row>
    <row r="10" spans="1:14" x14ac:dyDescent="0.2">
      <c r="A10" s="1"/>
      <c r="B10" s="1"/>
      <c r="C10" s="1"/>
      <c r="D10" s="1" t="s">
        <v>90</v>
      </c>
      <c r="E10" s="1"/>
      <c r="F10" s="2">
        <v>110268.87</v>
      </c>
      <c r="G10" s="3"/>
      <c r="H10" s="2">
        <v>110268.87</v>
      </c>
      <c r="I10" s="3"/>
      <c r="J10" s="2">
        <v>110268.87</v>
      </c>
      <c r="K10" s="3"/>
      <c r="L10" s="2">
        <v>110268.87</v>
      </c>
      <c r="M10" s="3"/>
      <c r="N10" s="2">
        <f>ROUND(SUM(F10:L10),5)</f>
        <v>441075.48</v>
      </c>
    </row>
    <row r="11" spans="1:14" x14ac:dyDescent="0.2">
      <c r="A11" s="1"/>
      <c r="B11" s="1"/>
      <c r="C11" s="1"/>
      <c r="D11" s="1" t="s">
        <v>91</v>
      </c>
      <c r="E11" s="1"/>
      <c r="F11" s="2">
        <v>213.48</v>
      </c>
      <c r="G11" s="3"/>
      <c r="H11" s="2">
        <v>0</v>
      </c>
      <c r="I11" s="3"/>
      <c r="J11" s="2">
        <v>331.59</v>
      </c>
      <c r="K11" s="3"/>
      <c r="L11" s="2">
        <v>257.73</v>
      </c>
      <c r="M11" s="3"/>
      <c r="N11" s="2">
        <f>ROUND(SUM(F11:L11),5)</f>
        <v>802.8</v>
      </c>
    </row>
    <row r="12" spans="1:14" x14ac:dyDescent="0.2">
      <c r="A12" s="1"/>
      <c r="B12" s="1"/>
      <c r="C12" s="1"/>
      <c r="D12" s="1" t="s">
        <v>92</v>
      </c>
      <c r="E12" s="1"/>
      <c r="F12" s="2"/>
      <c r="G12" s="3"/>
      <c r="H12" s="2"/>
      <c r="I12" s="3"/>
      <c r="J12" s="2"/>
      <c r="K12" s="3"/>
      <c r="L12" s="2"/>
      <c r="M12" s="3"/>
      <c r="N12" s="2"/>
    </row>
    <row r="13" spans="1:14" x14ac:dyDescent="0.2">
      <c r="A13" s="1"/>
      <c r="B13" s="1"/>
      <c r="C13" s="1"/>
      <c r="D13" s="1"/>
      <c r="E13" s="1" t="s">
        <v>93</v>
      </c>
      <c r="F13" s="2">
        <v>0</v>
      </c>
      <c r="G13" s="3"/>
      <c r="H13" s="2">
        <v>135000</v>
      </c>
      <c r="I13" s="3"/>
      <c r="J13" s="2">
        <v>27500</v>
      </c>
      <c r="K13" s="3"/>
      <c r="L13" s="2">
        <v>0</v>
      </c>
      <c r="M13" s="3"/>
      <c r="N13" s="2">
        <f t="shared" ref="N13:N24" si="0">ROUND(SUM(F13:L13),5)</f>
        <v>162500</v>
      </c>
    </row>
    <row r="14" spans="1:14" ht="16" thickBot="1" x14ac:dyDescent="0.25">
      <c r="A14" s="1"/>
      <c r="B14" s="1"/>
      <c r="C14" s="1"/>
      <c r="D14" s="1"/>
      <c r="E14" s="1" t="s">
        <v>94</v>
      </c>
      <c r="F14" s="4">
        <v>0</v>
      </c>
      <c r="G14" s="3"/>
      <c r="H14" s="4">
        <v>0</v>
      </c>
      <c r="I14" s="3"/>
      <c r="J14" s="4">
        <v>0</v>
      </c>
      <c r="K14" s="3"/>
      <c r="L14" s="4">
        <v>0</v>
      </c>
      <c r="M14" s="3"/>
      <c r="N14" s="4">
        <f t="shared" si="0"/>
        <v>0</v>
      </c>
    </row>
    <row r="15" spans="1:14" x14ac:dyDescent="0.2">
      <c r="A15" s="1"/>
      <c r="B15" s="1"/>
      <c r="C15" s="1"/>
      <c r="D15" s="1" t="s">
        <v>95</v>
      </c>
      <c r="E15" s="1"/>
      <c r="F15" s="2">
        <f>ROUND(SUM(F12:F14),5)</f>
        <v>0</v>
      </c>
      <c r="G15" s="3"/>
      <c r="H15" s="2">
        <f>ROUND(SUM(H12:H14),5)</f>
        <v>135000</v>
      </c>
      <c r="I15" s="3"/>
      <c r="J15" s="2">
        <f>ROUND(SUM(J12:J14),5)</f>
        <v>27500</v>
      </c>
      <c r="K15" s="3"/>
      <c r="L15" s="2">
        <f>ROUND(SUM(L12:L14),5)</f>
        <v>0</v>
      </c>
      <c r="M15" s="3"/>
      <c r="N15" s="2">
        <f t="shared" si="0"/>
        <v>162500</v>
      </c>
    </row>
    <row r="16" spans="1:14" x14ac:dyDescent="0.2">
      <c r="A16" s="1"/>
      <c r="B16" s="1"/>
      <c r="C16" s="1"/>
      <c r="D16" s="1" t="s">
        <v>96</v>
      </c>
      <c r="E16" s="1"/>
      <c r="F16" s="2">
        <v>0</v>
      </c>
      <c r="G16" s="3"/>
      <c r="H16" s="2">
        <v>50</v>
      </c>
      <c r="I16" s="3"/>
      <c r="J16" s="2">
        <v>0</v>
      </c>
      <c r="K16" s="3"/>
      <c r="L16" s="2">
        <v>0</v>
      </c>
      <c r="M16" s="3"/>
      <c r="N16" s="2">
        <f t="shared" si="0"/>
        <v>50</v>
      </c>
    </row>
    <row r="17" spans="1:14" x14ac:dyDescent="0.2">
      <c r="A17" s="1"/>
      <c r="B17" s="1"/>
      <c r="C17" s="1"/>
      <c r="D17" s="1" t="s">
        <v>97</v>
      </c>
      <c r="E17" s="1"/>
      <c r="F17" s="2">
        <v>0</v>
      </c>
      <c r="G17" s="3"/>
      <c r="H17" s="2">
        <v>2010</v>
      </c>
      <c r="I17" s="3"/>
      <c r="J17" s="2">
        <v>25</v>
      </c>
      <c r="K17" s="3"/>
      <c r="L17" s="2">
        <v>130</v>
      </c>
      <c r="M17" s="3"/>
      <c r="N17" s="2">
        <f t="shared" si="0"/>
        <v>2165</v>
      </c>
    </row>
    <row r="18" spans="1:14" x14ac:dyDescent="0.2">
      <c r="A18" s="1"/>
      <c r="B18" s="1"/>
      <c r="C18" s="1"/>
      <c r="D18" s="1" t="s">
        <v>98</v>
      </c>
      <c r="E18" s="1"/>
      <c r="F18" s="2">
        <v>0</v>
      </c>
      <c r="G18" s="3"/>
      <c r="H18" s="2">
        <v>277.7</v>
      </c>
      <c r="I18" s="3"/>
      <c r="J18" s="2">
        <v>0</v>
      </c>
      <c r="K18" s="3"/>
      <c r="L18" s="2">
        <v>0</v>
      </c>
      <c r="M18" s="3"/>
      <c r="N18" s="2">
        <f t="shared" si="0"/>
        <v>277.7</v>
      </c>
    </row>
    <row r="19" spans="1:14" x14ac:dyDescent="0.2">
      <c r="A19" s="1"/>
      <c r="B19" s="1"/>
      <c r="C19" s="1"/>
      <c r="D19" s="1" t="s">
        <v>99</v>
      </c>
      <c r="E19" s="1"/>
      <c r="F19" s="2">
        <v>130.32</v>
      </c>
      <c r="G19" s="3"/>
      <c r="H19" s="2">
        <v>130.32</v>
      </c>
      <c r="I19" s="3"/>
      <c r="J19" s="2">
        <v>130.32</v>
      </c>
      <c r="K19" s="3"/>
      <c r="L19" s="2">
        <v>6392.64</v>
      </c>
      <c r="M19" s="3"/>
      <c r="N19" s="2">
        <f t="shared" si="0"/>
        <v>6783.6</v>
      </c>
    </row>
    <row r="20" spans="1:14" x14ac:dyDescent="0.2">
      <c r="A20" s="1"/>
      <c r="B20" s="1"/>
      <c r="C20" s="1"/>
      <c r="D20" s="1" t="s">
        <v>100</v>
      </c>
      <c r="E20" s="1"/>
      <c r="F20" s="2">
        <v>103.61</v>
      </c>
      <c r="G20" s="3"/>
      <c r="H20" s="2">
        <v>257.10000000000002</v>
      </c>
      <c r="I20" s="3"/>
      <c r="J20" s="2">
        <v>533.01</v>
      </c>
      <c r="K20" s="3"/>
      <c r="L20" s="2">
        <v>198.14</v>
      </c>
      <c r="M20" s="3"/>
      <c r="N20" s="2">
        <f t="shared" si="0"/>
        <v>1091.8599999999999</v>
      </c>
    </row>
    <row r="21" spans="1:14" x14ac:dyDescent="0.2">
      <c r="A21" s="1"/>
      <c r="B21" s="1"/>
      <c r="C21" s="1"/>
      <c r="D21" s="1" t="s">
        <v>101</v>
      </c>
      <c r="E21" s="1"/>
      <c r="F21" s="2">
        <v>457.74</v>
      </c>
      <c r="G21" s="3"/>
      <c r="H21" s="2">
        <v>178.4</v>
      </c>
      <c r="I21" s="3"/>
      <c r="J21" s="2">
        <v>412.79</v>
      </c>
      <c r="K21" s="3"/>
      <c r="L21" s="2">
        <v>379.6</v>
      </c>
      <c r="M21" s="3"/>
      <c r="N21" s="2">
        <f t="shared" si="0"/>
        <v>1428.53</v>
      </c>
    </row>
    <row r="22" spans="1:14" x14ac:dyDescent="0.2">
      <c r="A22" s="1"/>
      <c r="B22" s="1"/>
      <c r="C22" s="1"/>
      <c r="D22" s="1" t="s">
        <v>102</v>
      </c>
      <c r="E22" s="1"/>
      <c r="F22" s="2">
        <v>375.77</v>
      </c>
      <c r="G22" s="3"/>
      <c r="H22" s="2">
        <v>259.66000000000003</v>
      </c>
      <c r="I22" s="3"/>
      <c r="J22" s="2">
        <v>259.66000000000003</v>
      </c>
      <c r="K22" s="3"/>
      <c r="L22" s="2">
        <v>369.13</v>
      </c>
      <c r="M22" s="3"/>
      <c r="N22" s="2">
        <f t="shared" si="0"/>
        <v>1264.22</v>
      </c>
    </row>
    <row r="23" spans="1:14" x14ac:dyDescent="0.2">
      <c r="A23" s="1"/>
      <c r="B23" s="1"/>
      <c r="C23" s="1"/>
      <c r="D23" s="1" t="s">
        <v>103</v>
      </c>
      <c r="E23" s="1"/>
      <c r="F23" s="2">
        <v>0</v>
      </c>
      <c r="G23" s="3"/>
      <c r="H23" s="2">
        <v>10.96</v>
      </c>
      <c r="I23" s="3"/>
      <c r="J23" s="2">
        <v>0</v>
      </c>
      <c r="K23" s="3"/>
      <c r="L23" s="2">
        <v>0</v>
      </c>
      <c r="M23" s="3"/>
      <c r="N23" s="2">
        <f t="shared" si="0"/>
        <v>10.96</v>
      </c>
    </row>
    <row r="24" spans="1:14" x14ac:dyDescent="0.2">
      <c r="A24" s="1"/>
      <c r="B24" s="1"/>
      <c r="C24" s="1"/>
      <c r="D24" s="1" t="s">
        <v>104</v>
      </c>
      <c r="E24" s="1"/>
      <c r="F24" s="2">
        <v>715.35</v>
      </c>
      <c r="G24" s="3"/>
      <c r="H24" s="2">
        <v>0</v>
      </c>
      <c r="I24" s="3"/>
      <c r="J24" s="2">
        <v>1110.76</v>
      </c>
      <c r="K24" s="3"/>
      <c r="L24" s="2">
        <v>77.959999999999994</v>
      </c>
      <c r="M24" s="3"/>
      <c r="N24" s="2">
        <f t="shared" si="0"/>
        <v>1904.07</v>
      </c>
    </row>
    <row r="25" spans="1:14" x14ac:dyDescent="0.2">
      <c r="A25" s="1"/>
      <c r="B25" s="1"/>
      <c r="C25" s="1"/>
      <c r="D25" s="1" t="s">
        <v>105</v>
      </c>
      <c r="E25" s="1"/>
      <c r="F25" s="2"/>
      <c r="G25" s="3"/>
      <c r="H25" s="2"/>
      <c r="I25" s="3"/>
      <c r="J25" s="2"/>
      <c r="K25" s="3"/>
      <c r="L25" s="2"/>
      <c r="M25" s="3"/>
      <c r="N25" s="2"/>
    </row>
    <row r="26" spans="1:14" x14ac:dyDescent="0.2">
      <c r="A26" s="1"/>
      <c r="B26" s="1"/>
      <c r="C26" s="1"/>
      <c r="D26" s="1"/>
      <c r="E26" s="1" t="s">
        <v>106</v>
      </c>
      <c r="F26" s="2">
        <v>0</v>
      </c>
      <c r="G26" s="3"/>
      <c r="H26" s="2">
        <v>438.18</v>
      </c>
      <c r="I26" s="3"/>
      <c r="J26" s="2">
        <v>-409.06</v>
      </c>
      <c r="K26" s="3"/>
      <c r="L26" s="2">
        <v>0</v>
      </c>
      <c r="M26" s="3"/>
      <c r="N26" s="2">
        <f t="shared" ref="N26:N31" si="1">ROUND(SUM(F26:L26),5)</f>
        <v>29.12</v>
      </c>
    </row>
    <row r="27" spans="1:14" ht="16" thickBot="1" x14ac:dyDescent="0.25">
      <c r="A27" s="1"/>
      <c r="B27" s="1"/>
      <c r="C27" s="1"/>
      <c r="D27" s="1"/>
      <c r="E27" s="1" t="s">
        <v>107</v>
      </c>
      <c r="F27" s="4">
        <v>0</v>
      </c>
      <c r="G27" s="3"/>
      <c r="H27" s="4">
        <v>0</v>
      </c>
      <c r="I27" s="3"/>
      <c r="J27" s="4">
        <v>0</v>
      </c>
      <c r="K27" s="3"/>
      <c r="L27" s="4">
        <v>581.59</v>
      </c>
      <c r="M27" s="3"/>
      <c r="N27" s="4">
        <f t="shared" si="1"/>
        <v>581.59</v>
      </c>
    </row>
    <row r="28" spans="1:14" x14ac:dyDescent="0.2">
      <c r="A28" s="1"/>
      <c r="B28" s="1"/>
      <c r="C28" s="1"/>
      <c r="D28" s="1" t="s">
        <v>108</v>
      </c>
      <c r="E28" s="1"/>
      <c r="F28" s="2">
        <f>ROUND(SUM(F25:F27),5)</f>
        <v>0</v>
      </c>
      <c r="G28" s="3"/>
      <c r="H28" s="2">
        <f>ROUND(SUM(H25:H27),5)</f>
        <v>438.18</v>
      </c>
      <c r="I28" s="3"/>
      <c r="J28" s="2">
        <f>ROUND(SUM(J25:J27),5)</f>
        <v>-409.06</v>
      </c>
      <c r="K28" s="3"/>
      <c r="L28" s="2">
        <f>ROUND(SUM(L25:L27),5)</f>
        <v>581.59</v>
      </c>
      <c r="M28" s="3"/>
      <c r="N28" s="2">
        <f t="shared" si="1"/>
        <v>610.71</v>
      </c>
    </row>
    <row r="29" spans="1:14" x14ac:dyDescent="0.2">
      <c r="A29" s="1"/>
      <c r="B29" s="1"/>
      <c r="C29" s="1"/>
      <c r="D29" s="1" t="s">
        <v>109</v>
      </c>
      <c r="E29" s="1"/>
      <c r="F29" s="2">
        <v>0</v>
      </c>
      <c r="G29" s="3"/>
      <c r="H29" s="2">
        <v>3500</v>
      </c>
      <c r="I29" s="3"/>
      <c r="J29" s="2">
        <v>0</v>
      </c>
      <c r="K29" s="3"/>
      <c r="L29" s="2">
        <v>0</v>
      </c>
      <c r="M29" s="3"/>
      <c r="N29" s="2">
        <f t="shared" si="1"/>
        <v>3500</v>
      </c>
    </row>
    <row r="30" spans="1:14" x14ac:dyDescent="0.2">
      <c r="A30" s="1"/>
      <c r="B30" s="1"/>
      <c r="C30" s="1"/>
      <c r="D30" s="1" t="s">
        <v>110</v>
      </c>
      <c r="E30" s="1"/>
      <c r="F30" s="2">
        <v>0</v>
      </c>
      <c r="G30" s="3"/>
      <c r="H30" s="2">
        <v>0</v>
      </c>
      <c r="I30" s="3"/>
      <c r="J30" s="2">
        <v>0</v>
      </c>
      <c r="K30" s="3"/>
      <c r="L30" s="2">
        <v>0.49</v>
      </c>
      <c r="M30" s="3"/>
      <c r="N30" s="2">
        <f t="shared" si="1"/>
        <v>0.49</v>
      </c>
    </row>
    <row r="31" spans="1:14" x14ac:dyDescent="0.2">
      <c r="A31" s="1"/>
      <c r="B31" s="1"/>
      <c r="C31" s="1"/>
      <c r="D31" s="1" t="s">
        <v>111</v>
      </c>
      <c r="E31" s="1"/>
      <c r="F31" s="2">
        <v>159.03</v>
      </c>
      <c r="G31" s="3"/>
      <c r="H31" s="2">
        <v>144.33000000000001</v>
      </c>
      <c r="I31" s="3"/>
      <c r="J31" s="2">
        <v>1452.64</v>
      </c>
      <c r="K31" s="3"/>
      <c r="L31" s="2">
        <v>1614.32</v>
      </c>
      <c r="M31" s="3"/>
      <c r="N31" s="2">
        <f t="shared" si="1"/>
        <v>3370.32</v>
      </c>
    </row>
    <row r="32" spans="1:14" x14ac:dyDescent="0.2">
      <c r="A32" s="1"/>
      <c r="B32" s="1"/>
      <c r="C32" s="1"/>
      <c r="D32" s="1" t="s">
        <v>112</v>
      </c>
      <c r="E32" s="1"/>
      <c r="F32" s="2"/>
      <c r="G32" s="3"/>
      <c r="H32" s="2"/>
      <c r="I32" s="3"/>
      <c r="J32" s="2"/>
      <c r="K32" s="3"/>
      <c r="L32" s="2"/>
      <c r="M32" s="3"/>
      <c r="N32" s="2"/>
    </row>
    <row r="33" spans="1:14" x14ac:dyDescent="0.2">
      <c r="A33" s="1"/>
      <c r="B33" s="1"/>
      <c r="C33" s="1"/>
      <c r="D33" s="1"/>
      <c r="E33" s="1" t="s">
        <v>113</v>
      </c>
      <c r="F33" s="2">
        <v>0</v>
      </c>
      <c r="G33" s="3"/>
      <c r="H33" s="2">
        <v>-948.41</v>
      </c>
      <c r="I33" s="3"/>
      <c r="J33" s="2">
        <v>0</v>
      </c>
      <c r="K33" s="3"/>
      <c r="L33" s="2">
        <v>0</v>
      </c>
      <c r="M33" s="3"/>
      <c r="N33" s="2">
        <f t="shared" ref="N33:N40" si="2">ROUND(SUM(F33:L33),5)</f>
        <v>-948.41</v>
      </c>
    </row>
    <row r="34" spans="1:14" ht="16" thickBot="1" x14ac:dyDescent="0.25">
      <c r="A34" s="1"/>
      <c r="B34" s="1"/>
      <c r="C34" s="1"/>
      <c r="D34" s="1"/>
      <c r="E34" s="1" t="s">
        <v>114</v>
      </c>
      <c r="F34" s="4">
        <v>800</v>
      </c>
      <c r="G34" s="3"/>
      <c r="H34" s="4">
        <v>0</v>
      </c>
      <c r="I34" s="3"/>
      <c r="J34" s="4">
        <v>0</v>
      </c>
      <c r="K34" s="3"/>
      <c r="L34" s="4">
        <v>0</v>
      </c>
      <c r="M34" s="3"/>
      <c r="N34" s="4">
        <f t="shared" si="2"/>
        <v>800</v>
      </c>
    </row>
    <row r="35" spans="1:14" x14ac:dyDescent="0.2">
      <c r="A35" s="1"/>
      <c r="B35" s="1"/>
      <c r="C35" s="1"/>
      <c r="D35" s="1" t="s">
        <v>115</v>
      </c>
      <c r="E35" s="1"/>
      <c r="F35" s="2">
        <f>ROUND(SUM(F32:F34),5)</f>
        <v>800</v>
      </c>
      <c r="G35" s="3"/>
      <c r="H35" s="2">
        <f>ROUND(SUM(H32:H34),5)</f>
        <v>-948.41</v>
      </c>
      <c r="I35" s="3"/>
      <c r="J35" s="2">
        <f>ROUND(SUM(J32:J34),5)</f>
        <v>0</v>
      </c>
      <c r="K35" s="3"/>
      <c r="L35" s="2">
        <f>ROUND(SUM(L32:L34),5)</f>
        <v>0</v>
      </c>
      <c r="M35" s="3"/>
      <c r="N35" s="2">
        <f t="shared" si="2"/>
        <v>-148.41</v>
      </c>
    </row>
    <row r="36" spans="1:14" x14ac:dyDescent="0.2">
      <c r="A36" s="1"/>
      <c r="B36" s="1"/>
      <c r="C36" s="1"/>
      <c r="D36" s="1" t="s">
        <v>116</v>
      </c>
      <c r="E36" s="1"/>
      <c r="F36" s="2">
        <v>0</v>
      </c>
      <c r="G36" s="3"/>
      <c r="H36" s="2">
        <v>125.09</v>
      </c>
      <c r="I36" s="3"/>
      <c r="J36" s="2">
        <v>0</v>
      </c>
      <c r="K36" s="3"/>
      <c r="L36" s="2">
        <v>0</v>
      </c>
      <c r="M36" s="3"/>
      <c r="N36" s="2">
        <f t="shared" si="2"/>
        <v>125.09</v>
      </c>
    </row>
    <row r="37" spans="1:14" x14ac:dyDescent="0.2">
      <c r="A37" s="1"/>
      <c r="B37" s="1"/>
      <c r="C37" s="1"/>
      <c r="D37" s="1" t="s">
        <v>117</v>
      </c>
      <c r="E37" s="1"/>
      <c r="F37" s="2">
        <v>0</v>
      </c>
      <c r="G37" s="3"/>
      <c r="H37" s="2">
        <v>390.4</v>
      </c>
      <c r="I37" s="3"/>
      <c r="J37" s="2">
        <v>0</v>
      </c>
      <c r="K37" s="3"/>
      <c r="L37" s="2">
        <v>0</v>
      </c>
      <c r="M37" s="3"/>
      <c r="N37" s="2">
        <f t="shared" si="2"/>
        <v>390.4</v>
      </c>
    </row>
    <row r="38" spans="1:14" x14ac:dyDescent="0.2">
      <c r="A38" s="1"/>
      <c r="B38" s="1"/>
      <c r="C38" s="1"/>
      <c r="D38" s="1" t="s">
        <v>118</v>
      </c>
      <c r="E38" s="1"/>
      <c r="F38" s="2">
        <v>1788</v>
      </c>
      <c r="G38" s="3"/>
      <c r="H38" s="2">
        <v>0</v>
      </c>
      <c r="I38" s="3"/>
      <c r="J38" s="2">
        <v>27.9</v>
      </c>
      <c r="K38" s="3"/>
      <c r="L38" s="2">
        <v>0</v>
      </c>
      <c r="M38" s="3"/>
      <c r="N38" s="2">
        <f t="shared" si="2"/>
        <v>1815.9</v>
      </c>
    </row>
    <row r="39" spans="1:14" x14ac:dyDescent="0.2">
      <c r="A39" s="1"/>
      <c r="B39" s="1"/>
      <c r="C39" s="1"/>
      <c r="D39" s="1" t="s">
        <v>119</v>
      </c>
      <c r="E39" s="1"/>
      <c r="F39" s="2">
        <v>0</v>
      </c>
      <c r="G39" s="3"/>
      <c r="H39" s="2">
        <v>0</v>
      </c>
      <c r="I39" s="3"/>
      <c r="J39" s="2">
        <v>0</v>
      </c>
      <c r="K39" s="3"/>
      <c r="L39" s="2">
        <v>0</v>
      </c>
      <c r="M39" s="3"/>
      <c r="N39" s="2">
        <f t="shared" si="2"/>
        <v>0</v>
      </c>
    </row>
    <row r="40" spans="1:14" x14ac:dyDescent="0.2">
      <c r="A40" s="1"/>
      <c r="B40" s="1"/>
      <c r="C40" s="1"/>
      <c r="D40" s="1" t="s">
        <v>120</v>
      </c>
      <c r="E40" s="1"/>
      <c r="F40" s="2">
        <v>0</v>
      </c>
      <c r="G40" s="3"/>
      <c r="H40" s="2">
        <v>0</v>
      </c>
      <c r="I40" s="3"/>
      <c r="J40" s="2">
        <v>209.97</v>
      </c>
      <c r="K40" s="3"/>
      <c r="L40" s="2">
        <v>221.37</v>
      </c>
      <c r="M40" s="3"/>
      <c r="N40" s="2">
        <f t="shared" si="2"/>
        <v>431.34</v>
      </c>
    </row>
    <row r="41" spans="1:14" x14ac:dyDescent="0.2">
      <c r="A41" s="1"/>
      <c r="B41" s="1"/>
      <c r="C41" s="1"/>
      <c r="D41" s="1" t="s">
        <v>121</v>
      </c>
      <c r="E41" s="1"/>
      <c r="F41" s="2"/>
      <c r="G41" s="3"/>
      <c r="H41" s="2"/>
      <c r="I41" s="3"/>
      <c r="J41" s="2"/>
      <c r="K41" s="3"/>
      <c r="L41" s="2"/>
      <c r="M41" s="3"/>
      <c r="N41" s="2"/>
    </row>
    <row r="42" spans="1:14" x14ac:dyDescent="0.2">
      <c r="A42" s="1"/>
      <c r="B42" s="1"/>
      <c r="C42" s="1"/>
      <c r="D42" s="1"/>
      <c r="E42" s="1" t="s">
        <v>122</v>
      </c>
      <c r="F42" s="2">
        <v>0</v>
      </c>
      <c r="G42" s="3"/>
      <c r="H42" s="2">
        <v>0</v>
      </c>
      <c r="I42" s="3"/>
      <c r="J42" s="2">
        <v>1452.84</v>
      </c>
      <c r="K42" s="3"/>
      <c r="L42" s="2">
        <v>866.64</v>
      </c>
      <c r="M42" s="3"/>
      <c r="N42" s="2">
        <f>ROUND(SUM(F42:L42),5)</f>
        <v>2319.48</v>
      </c>
    </row>
    <row r="43" spans="1:14" ht="16" thickBot="1" x14ac:dyDescent="0.25">
      <c r="A43" s="1"/>
      <c r="B43" s="1"/>
      <c r="C43" s="1"/>
      <c r="D43" s="1"/>
      <c r="E43" s="1" t="s">
        <v>123</v>
      </c>
      <c r="F43" s="4">
        <v>825</v>
      </c>
      <c r="G43" s="3"/>
      <c r="H43" s="4">
        <v>825</v>
      </c>
      <c r="I43" s="3"/>
      <c r="J43" s="4">
        <v>0</v>
      </c>
      <c r="K43" s="3"/>
      <c r="L43" s="4">
        <v>0</v>
      </c>
      <c r="M43" s="3"/>
      <c r="N43" s="4">
        <f>ROUND(SUM(F43:L43),5)</f>
        <v>1650</v>
      </c>
    </row>
    <row r="44" spans="1:14" x14ac:dyDescent="0.2">
      <c r="A44" s="1"/>
      <c r="B44" s="1"/>
      <c r="C44" s="1"/>
      <c r="D44" s="1" t="s">
        <v>124</v>
      </c>
      <c r="E44" s="1"/>
      <c r="F44" s="2">
        <f>ROUND(SUM(F41:F43),5)</f>
        <v>825</v>
      </c>
      <c r="G44" s="3"/>
      <c r="H44" s="2">
        <f>ROUND(SUM(H41:H43),5)</f>
        <v>825</v>
      </c>
      <c r="I44" s="3"/>
      <c r="J44" s="2">
        <f>ROUND(SUM(J41:J43),5)</f>
        <v>1452.84</v>
      </c>
      <c r="K44" s="3"/>
      <c r="L44" s="2">
        <f>ROUND(SUM(L41:L43),5)</f>
        <v>866.64</v>
      </c>
      <c r="M44" s="3"/>
      <c r="N44" s="2">
        <f>ROUND(SUM(F44:L44),5)</f>
        <v>3969.48</v>
      </c>
    </row>
    <row r="45" spans="1:14" x14ac:dyDescent="0.2">
      <c r="A45" s="1"/>
      <c r="B45" s="1"/>
      <c r="C45" s="1"/>
      <c r="D45" s="1" t="s">
        <v>125</v>
      </c>
      <c r="E45" s="1"/>
      <c r="F45" s="2">
        <v>3143.83</v>
      </c>
      <c r="G45" s="3"/>
      <c r="H45" s="2">
        <v>3178.75</v>
      </c>
      <c r="I45" s="3"/>
      <c r="J45" s="2">
        <v>4268.51</v>
      </c>
      <c r="K45" s="3"/>
      <c r="L45" s="2">
        <v>4473.97</v>
      </c>
      <c r="M45" s="3"/>
      <c r="N45" s="2">
        <f>ROUND(SUM(F45:L45),5)</f>
        <v>15065.06</v>
      </c>
    </row>
    <row r="46" spans="1:14" x14ac:dyDescent="0.2">
      <c r="A46" s="1"/>
      <c r="B46" s="1"/>
      <c r="C46" s="1"/>
      <c r="D46" s="1" t="s">
        <v>126</v>
      </c>
      <c r="E46" s="1"/>
      <c r="F46" s="2">
        <v>0</v>
      </c>
      <c r="G46" s="3"/>
      <c r="H46" s="2">
        <v>0</v>
      </c>
      <c r="I46" s="3"/>
      <c r="J46" s="2">
        <v>79.06</v>
      </c>
      <c r="K46" s="3"/>
      <c r="L46" s="2">
        <v>-41</v>
      </c>
      <c r="M46" s="3"/>
      <c r="N46" s="2">
        <f>ROUND(SUM(F46:L46),5)</f>
        <v>38.06</v>
      </c>
    </row>
    <row r="47" spans="1:14" x14ac:dyDescent="0.2">
      <c r="A47" s="1"/>
      <c r="B47" s="1"/>
      <c r="C47" s="1"/>
      <c r="D47" s="1" t="s">
        <v>127</v>
      </c>
      <c r="E47" s="1"/>
      <c r="F47" s="2"/>
      <c r="G47" s="3"/>
      <c r="H47" s="2"/>
      <c r="I47" s="3"/>
      <c r="J47" s="2"/>
      <c r="K47" s="3"/>
      <c r="L47" s="2"/>
      <c r="M47" s="3"/>
      <c r="N47" s="2"/>
    </row>
    <row r="48" spans="1:14" x14ac:dyDescent="0.2">
      <c r="A48" s="1"/>
      <c r="B48" s="1"/>
      <c r="C48" s="1"/>
      <c r="D48" s="1"/>
      <c r="E48" s="1" t="s">
        <v>128</v>
      </c>
      <c r="F48" s="2">
        <v>133280.03</v>
      </c>
      <c r="G48" s="3"/>
      <c r="H48" s="2">
        <v>72540</v>
      </c>
      <c r="I48" s="3"/>
      <c r="J48" s="2">
        <v>112700.03</v>
      </c>
      <c r="K48" s="3"/>
      <c r="L48" s="2">
        <v>198627.85</v>
      </c>
      <c r="M48" s="3"/>
      <c r="N48" s="2">
        <f t="shared" ref="N48:N54" si="3">ROUND(SUM(F48:L48),5)</f>
        <v>517147.91</v>
      </c>
    </row>
    <row r="49" spans="1:14" x14ac:dyDescent="0.2">
      <c r="A49" s="1"/>
      <c r="B49" s="1"/>
      <c r="C49" s="1"/>
      <c r="D49" s="1"/>
      <c r="E49" s="1" t="s">
        <v>129</v>
      </c>
      <c r="F49" s="2">
        <v>19000</v>
      </c>
      <c r="G49" s="3"/>
      <c r="H49" s="2">
        <v>0</v>
      </c>
      <c r="I49" s="3"/>
      <c r="J49" s="2">
        <v>0</v>
      </c>
      <c r="K49" s="3"/>
      <c r="L49" s="2">
        <v>35475</v>
      </c>
      <c r="M49" s="3"/>
      <c r="N49" s="2">
        <f t="shared" si="3"/>
        <v>54475</v>
      </c>
    </row>
    <row r="50" spans="1:14" x14ac:dyDescent="0.2">
      <c r="A50" s="1"/>
      <c r="B50" s="1"/>
      <c r="C50" s="1"/>
      <c r="D50" s="1"/>
      <c r="E50" s="1" t="s">
        <v>130</v>
      </c>
      <c r="F50" s="2">
        <v>13772.18</v>
      </c>
      <c r="G50" s="3"/>
      <c r="H50" s="2">
        <v>5587.59</v>
      </c>
      <c r="I50" s="3"/>
      <c r="J50" s="2">
        <v>8645.91</v>
      </c>
      <c r="K50" s="3"/>
      <c r="L50" s="2">
        <v>24094.7</v>
      </c>
      <c r="M50" s="3"/>
      <c r="N50" s="2">
        <f t="shared" si="3"/>
        <v>52100.38</v>
      </c>
    </row>
    <row r="51" spans="1:14" x14ac:dyDescent="0.2">
      <c r="A51" s="1"/>
      <c r="B51" s="1"/>
      <c r="C51" s="1"/>
      <c r="D51" s="1"/>
      <c r="E51" s="1" t="s">
        <v>131</v>
      </c>
      <c r="F51" s="2">
        <v>4800</v>
      </c>
      <c r="G51" s="3"/>
      <c r="H51" s="2">
        <v>-5810.47</v>
      </c>
      <c r="I51" s="3"/>
      <c r="J51" s="2">
        <v>4800</v>
      </c>
      <c r="K51" s="3"/>
      <c r="L51" s="2">
        <v>6400</v>
      </c>
      <c r="M51" s="3"/>
      <c r="N51" s="2">
        <f t="shared" si="3"/>
        <v>10189.530000000001</v>
      </c>
    </row>
    <row r="52" spans="1:14" x14ac:dyDescent="0.2">
      <c r="A52" s="1"/>
      <c r="B52" s="1"/>
      <c r="C52" s="1"/>
      <c r="D52" s="1" t="s">
        <v>132</v>
      </c>
      <c r="E52" s="1"/>
      <c r="F52" s="2">
        <f>ROUND(SUM(F47:F51),5)</f>
        <v>170852.21</v>
      </c>
      <c r="G52" s="3"/>
      <c r="H52" s="2">
        <f>ROUND(SUM(H47:H51),5)</f>
        <v>72317.119999999995</v>
      </c>
      <c r="I52" s="3"/>
      <c r="J52" s="2">
        <f>ROUND(SUM(J47:J51),5)</f>
        <v>126145.94</v>
      </c>
      <c r="K52" s="3"/>
      <c r="L52" s="2">
        <f>ROUND(SUM(L47:L51),5)</f>
        <v>264597.55</v>
      </c>
      <c r="M52" s="3"/>
      <c r="N52" s="2">
        <f t="shared" si="3"/>
        <v>633912.81999999995</v>
      </c>
    </row>
    <row r="53" spans="1:14" x14ac:dyDescent="0.2">
      <c r="A53" s="1"/>
      <c r="B53" s="1"/>
      <c r="C53" s="1"/>
      <c r="D53" s="1" t="s">
        <v>133</v>
      </c>
      <c r="E53" s="1"/>
      <c r="F53" s="2">
        <v>1472</v>
      </c>
      <c r="G53" s="3"/>
      <c r="H53" s="2">
        <v>12434</v>
      </c>
      <c r="I53" s="3"/>
      <c r="J53" s="2">
        <v>4943.62</v>
      </c>
      <c r="K53" s="3"/>
      <c r="L53" s="2">
        <v>17141.68</v>
      </c>
      <c r="M53" s="3"/>
      <c r="N53" s="2">
        <f t="shared" si="3"/>
        <v>35991.300000000003</v>
      </c>
    </row>
    <row r="54" spans="1:14" x14ac:dyDescent="0.2">
      <c r="A54" s="1"/>
      <c r="B54" s="1"/>
      <c r="C54" s="1"/>
      <c r="D54" s="1" t="s">
        <v>134</v>
      </c>
      <c r="E54" s="1"/>
      <c r="F54" s="2">
        <v>1350</v>
      </c>
      <c r="G54" s="3"/>
      <c r="H54" s="2">
        <v>1350</v>
      </c>
      <c r="I54" s="3"/>
      <c r="J54" s="2">
        <v>1350</v>
      </c>
      <c r="K54" s="3"/>
      <c r="L54" s="2">
        <v>900</v>
      </c>
      <c r="M54" s="3"/>
      <c r="N54" s="2">
        <f t="shared" si="3"/>
        <v>4950</v>
      </c>
    </row>
    <row r="55" spans="1:14" x14ac:dyDescent="0.2">
      <c r="A55" s="1"/>
      <c r="B55" s="1"/>
      <c r="C55" s="1"/>
      <c r="D55" s="1" t="s">
        <v>135</v>
      </c>
      <c r="E55" s="1"/>
      <c r="F55" s="2"/>
      <c r="G55" s="3"/>
      <c r="H55" s="2"/>
      <c r="I55" s="3"/>
      <c r="J55" s="2"/>
      <c r="K55" s="3"/>
      <c r="L55" s="2"/>
      <c r="M55" s="3"/>
      <c r="N55" s="2"/>
    </row>
    <row r="56" spans="1:14" x14ac:dyDescent="0.2">
      <c r="A56" s="1"/>
      <c r="B56" s="1"/>
      <c r="C56" s="1"/>
      <c r="D56" s="1"/>
      <c r="E56" s="1" t="s">
        <v>136</v>
      </c>
      <c r="F56" s="2">
        <v>0</v>
      </c>
      <c r="G56" s="3"/>
      <c r="H56" s="2">
        <v>1624.72</v>
      </c>
      <c r="I56" s="3"/>
      <c r="J56" s="2">
        <v>934.11</v>
      </c>
      <c r="K56" s="3"/>
      <c r="L56" s="2">
        <v>-673.11</v>
      </c>
      <c r="M56" s="3"/>
      <c r="N56" s="2">
        <f t="shared" ref="N56:N63" si="4">ROUND(SUM(F56:L56),5)</f>
        <v>1885.72</v>
      </c>
    </row>
    <row r="57" spans="1:14" x14ac:dyDescent="0.2">
      <c r="A57" s="1"/>
      <c r="B57" s="1"/>
      <c r="C57" s="1"/>
      <c r="D57" s="1"/>
      <c r="E57" s="1" t="s">
        <v>137</v>
      </c>
      <c r="F57" s="2">
        <v>745.92</v>
      </c>
      <c r="G57" s="3"/>
      <c r="H57" s="2">
        <v>824.74</v>
      </c>
      <c r="I57" s="3"/>
      <c r="J57" s="2">
        <v>970.26</v>
      </c>
      <c r="K57" s="3"/>
      <c r="L57" s="2">
        <v>250.66</v>
      </c>
      <c r="M57" s="3"/>
      <c r="N57" s="2">
        <f t="shared" si="4"/>
        <v>2791.58</v>
      </c>
    </row>
    <row r="58" spans="1:14" x14ac:dyDescent="0.2">
      <c r="A58" s="1"/>
      <c r="B58" s="1"/>
      <c r="C58" s="1"/>
      <c r="D58" s="1"/>
      <c r="E58" s="1" t="s">
        <v>138</v>
      </c>
      <c r="F58" s="2">
        <v>0</v>
      </c>
      <c r="G58" s="3"/>
      <c r="H58" s="2">
        <v>692.93</v>
      </c>
      <c r="I58" s="3"/>
      <c r="J58" s="2">
        <v>23.18</v>
      </c>
      <c r="K58" s="3"/>
      <c r="L58" s="2">
        <v>0</v>
      </c>
      <c r="M58" s="3"/>
      <c r="N58" s="2">
        <f t="shared" si="4"/>
        <v>716.11</v>
      </c>
    </row>
    <row r="59" spans="1:14" x14ac:dyDescent="0.2">
      <c r="A59" s="1"/>
      <c r="B59" s="1"/>
      <c r="C59" s="1"/>
      <c r="D59" s="1"/>
      <c r="E59" s="1" t="s">
        <v>139</v>
      </c>
      <c r="F59" s="2">
        <v>83.67</v>
      </c>
      <c r="G59" s="3"/>
      <c r="H59" s="2">
        <v>70.48</v>
      </c>
      <c r="I59" s="3"/>
      <c r="J59" s="2">
        <v>134.72</v>
      </c>
      <c r="K59" s="3"/>
      <c r="L59" s="2">
        <v>43.89</v>
      </c>
      <c r="M59" s="3"/>
      <c r="N59" s="2">
        <f t="shared" si="4"/>
        <v>332.76</v>
      </c>
    </row>
    <row r="60" spans="1:14" ht="16" thickBot="1" x14ac:dyDescent="0.25">
      <c r="A60" s="1"/>
      <c r="B60" s="1"/>
      <c r="C60" s="1"/>
      <c r="D60" s="1"/>
      <c r="E60" s="1" t="s">
        <v>140</v>
      </c>
      <c r="F60" s="2">
        <v>0</v>
      </c>
      <c r="G60" s="3"/>
      <c r="H60" s="2">
        <v>244.7</v>
      </c>
      <c r="I60" s="3"/>
      <c r="J60" s="2">
        <v>17.34</v>
      </c>
      <c r="K60" s="3"/>
      <c r="L60" s="2">
        <v>2805.99</v>
      </c>
      <c r="M60" s="3"/>
      <c r="N60" s="2">
        <f t="shared" si="4"/>
        <v>3068.03</v>
      </c>
    </row>
    <row r="61" spans="1:14" ht="16" thickBot="1" x14ac:dyDescent="0.25">
      <c r="A61" s="1"/>
      <c r="B61" s="1"/>
      <c r="C61" s="1"/>
      <c r="D61" s="1" t="s">
        <v>141</v>
      </c>
      <c r="E61" s="1"/>
      <c r="F61" s="6">
        <f>ROUND(SUM(F55:F60),5)</f>
        <v>829.59</v>
      </c>
      <c r="G61" s="3"/>
      <c r="H61" s="6">
        <f>ROUND(SUM(H55:H60),5)</f>
        <v>3457.57</v>
      </c>
      <c r="I61" s="3"/>
      <c r="J61" s="6">
        <f>ROUND(SUM(J55:J60),5)</f>
        <v>2079.61</v>
      </c>
      <c r="K61" s="3"/>
      <c r="L61" s="6">
        <f>ROUND(SUM(L55:L60),5)</f>
        <v>2427.4299999999998</v>
      </c>
      <c r="M61" s="3"/>
      <c r="N61" s="6">
        <f t="shared" si="4"/>
        <v>8794.2000000000007</v>
      </c>
    </row>
    <row r="62" spans="1:14" ht="16" thickBot="1" x14ac:dyDescent="0.25">
      <c r="A62" s="1"/>
      <c r="B62" s="1"/>
      <c r="C62" s="1" t="s">
        <v>142</v>
      </c>
      <c r="D62" s="1"/>
      <c r="E62" s="1"/>
      <c r="F62" s="5">
        <f>ROUND(SUM(F7:F11)+SUM(F15:F24)+SUM(F28:F31)+SUM(F35:F40)+SUM(F44:F46)+SUM(F52:F54)+F61,5)</f>
        <v>294214.8</v>
      </c>
      <c r="G62" s="3"/>
      <c r="H62" s="5">
        <f>ROUND(SUM(H7:H11)+SUM(H15:H24)+SUM(H28:H31)+SUM(H35:H40)+SUM(H44:H46)+SUM(H52:H54)+H61,5)</f>
        <v>348100.04</v>
      </c>
      <c r="I62" s="3"/>
      <c r="J62" s="5">
        <f>ROUND(SUM(J7:J11)+SUM(J15:J24)+SUM(J28:J31)+SUM(J35:J40)+SUM(J44:J46)+SUM(J52:J54)+J61,5)</f>
        <v>283268.03000000003</v>
      </c>
      <c r="K62" s="3"/>
      <c r="L62" s="5">
        <f>ROUND(SUM(L7:L11)+SUM(L15:L24)+SUM(L28:L31)+SUM(L35:L40)+SUM(L44:L46)+SUM(L52:L54)+L61,5)</f>
        <v>415663.11</v>
      </c>
      <c r="M62" s="3"/>
      <c r="N62" s="5">
        <f t="shared" si="4"/>
        <v>1341245.98</v>
      </c>
    </row>
    <row r="63" spans="1:14" x14ac:dyDescent="0.2">
      <c r="A63" s="1"/>
      <c r="B63" s="1" t="s">
        <v>143</v>
      </c>
      <c r="C63" s="1"/>
      <c r="D63" s="1"/>
      <c r="E63" s="1"/>
      <c r="F63" s="2">
        <f>ROUND(F2+F6-F62,5)</f>
        <v>7505.2</v>
      </c>
      <c r="G63" s="3"/>
      <c r="H63" s="2">
        <f>ROUND(H2+H6-H62,5)</f>
        <v>-205334.04</v>
      </c>
      <c r="I63" s="3"/>
      <c r="J63" s="2">
        <f>ROUND(J2+J6-J62,5)</f>
        <v>-251468.03</v>
      </c>
      <c r="K63" s="3"/>
      <c r="L63" s="2">
        <f>ROUND(L2+L6-L62,5)</f>
        <v>-412163.11</v>
      </c>
      <c r="M63" s="3"/>
      <c r="N63" s="2">
        <f t="shared" si="4"/>
        <v>-861459.98</v>
      </c>
    </row>
    <row r="64" spans="1:14" x14ac:dyDescent="0.2">
      <c r="A64" s="1"/>
      <c r="B64" s="1" t="s">
        <v>144</v>
      </c>
      <c r="C64" s="1"/>
      <c r="D64" s="1"/>
      <c r="E64" s="1"/>
      <c r="F64" s="2"/>
      <c r="G64" s="3"/>
      <c r="H64" s="2"/>
      <c r="I64" s="3"/>
      <c r="J64" s="2"/>
      <c r="K64" s="3"/>
      <c r="L64" s="2"/>
      <c r="M64" s="3"/>
      <c r="N64" s="2"/>
    </row>
    <row r="65" spans="1:14" x14ac:dyDescent="0.2">
      <c r="A65" s="1"/>
      <c r="B65" s="1"/>
      <c r="C65" s="1" t="s">
        <v>145</v>
      </c>
      <c r="D65" s="1"/>
      <c r="E65" s="1"/>
      <c r="F65" s="2"/>
      <c r="G65" s="3"/>
      <c r="H65" s="2"/>
      <c r="I65" s="3"/>
      <c r="J65" s="2"/>
      <c r="K65" s="3"/>
      <c r="L65" s="2"/>
      <c r="M65" s="3"/>
      <c r="N65" s="2"/>
    </row>
    <row r="66" spans="1:14" x14ac:dyDescent="0.2">
      <c r="A66" s="1"/>
      <c r="B66" s="1"/>
      <c r="C66" s="1"/>
      <c r="D66" s="1" t="s">
        <v>146</v>
      </c>
      <c r="E66" s="1"/>
      <c r="F66" s="2">
        <v>1.06</v>
      </c>
      <c r="G66" s="3"/>
      <c r="H66" s="2">
        <v>1.08</v>
      </c>
      <c r="I66" s="3"/>
      <c r="J66" s="2">
        <v>1.1000000000000001</v>
      </c>
      <c r="K66" s="3"/>
      <c r="L66" s="2">
        <v>0.62</v>
      </c>
      <c r="M66" s="3"/>
      <c r="N66" s="2">
        <f>ROUND(SUM(F66:L66),5)</f>
        <v>3.86</v>
      </c>
    </row>
    <row r="67" spans="1:14" ht="16" thickBot="1" x14ac:dyDescent="0.25">
      <c r="A67" s="1"/>
      <c r="B67" s="1"/>
      <c r="C67" s="1"/>
      <c r="D67" s="1" t="s">
        <v>147</v>
      </c>
      <c r="E67" s="1"/>
      <c r="F67" s="4">
        <v>140.72</v>
      </c>
      <c r="G67" s="3"/>
      <c r="H67" s="4">
        <v>108.92</v>
      </c>
      <c r="I67" s="3"/>
      <c r="J67" s="4">
        <v>229.95</v>
      </c>
      <c r="K67" s="3"/>
      <c r="L67" s="4">
        <v>212.87</v>
      </c>
      <c r="M67" s="3"/>
      <c r="N67" s="4">
        <f>ROUND(SUM(F67:L67),5)</f>
        <v>692.46</v>
      </c>
    </row>
    <row r="68" spans="1:14" x14ac:dyDescent="0.2">
      <c r="A68" s="1"/>
      <c r="B68" s="1"/>
      <c r="C68" s="1" t="s">
        <v>148</v>
      </c>
      <c r="D68" s="1"/>
      <c r="E68" s="1"/>
      <c r="F68" s="2">
        <f>ROUND(SUM(F65:F67),5)</f>
        <v>141.78</v>
      </c>
      <c r="G68" s="3"/>
      <c r="H68" s="2">
        <f>ROUND(SUM(H65:H67),5)</f>
        <v>110</v>
      </c>
      <c r="I68" s="3"/>
      <c r="J68" s="2">
        <f>ROUND(SUM(J65:J67),5)</f>
        <v>231.05</v>
      </c>
      <c r="K68" s="3"/>
      <c r="L68" s="2">
        <f>ROUND(SUM(L65:L67),5)</f>
        <v>213.49</v>
      </c>
      <c r="M68" s="3"/>
      <c r="N68" s="2">
        <f>ROUND(SUM(F68:L68),5)</f>
        <v>696.32</v>
      </c>
    </row>
    <row r="69" spans="1:14" x14ac:dyDescent="0.2">
      <c r="A69" s="1"/>
      <c r="B69" s="1"/>
      <c r="C69" s="1" t="s">
        <v>149</v>
      </c>
      <c r="D69" s="1"/>
      <c r="E69" s="1"/>
      <c r="F69" s="2"/>
      <c r="G69" s="3"/>
      <c r="H69" s="2"/>
      <c r="I69" s="3"/>
      <c r="J69" s="2"/>
      <c r="K69" s="3"/>
      <c r="L69" s="2"/>
      <c r="M69" s="3"/>
      <c r="N69" s="2"/>
    </row>
    <row r="70" spans="1:14" ht="16" thickBot="1" x14ac:dyDescent="0.25">
      <c r="A70" s="1"/>
      <c r="B70" s="1"/>
      <c r="C70" s="1"/>
      <c r="D70" s="1" t="s">
        <v>150</v>
      </c>
      <c r="E70" s="1"/>
      <c r="F70" s="2">
        <v>0</v>
      </c>
      <c r="G70" s="3"/>
      <c r="H70" s="2">
        <v>52.56</v>
      </c>
      <c r="I70" s="3"/>
      <c r="J70" s="2">
        <v>50</v>
      </c>
      <c r="K70" s="3"/>
      <c r="L70" s="2">
        <v>0</v>
      </c>
      <c r="M70" s="3"/>
      <c r="N70" s="2">
        <f>ROUND(SUM(F70:L70),5)</f>
        <v>102.56</v>
      </c>
    </row>
    <row r="71" spans="1:14" ht="16" thickBot="1" x14ac:dyDescent="0.25">
      <c r="A71" s="1"/>
      <c r="B71" s="1"/>
      <c r="C71" s="1" t="s">
        <v>151</v>
      </c>
      <c r="D71" s="1"/>
      <c r="E71" s="1"/>
      <c r="F71" s="6">
        <f>ROUND(SUM(F69:F70),5)</f>
        <v>0</v>
      </c>
      <c r="G71" s="3"/>
      <c r="H71" s="6">
        <f>ROUND(SUM(H69:H70),5)</f>
        <v>52.56</v>
      </c>
      <c r="I71" s="3"/>
      <c r="J71" s="6">
        <f>ROUND(SUM(J69:J70),5)</f>
        <v>50</v>
      </c>
      <c r="K71" s="3"/>
      <c r="L71" s="6">
        <f>ROUND(SUM(L69:L70),5)</f>
        <v>0</v>
      </c>
      <c r="M71" s="3"/>
      <c r="N71" s="6">
        <f>ROUND(SUM(F71:L71),5)</f>
        <v>102.56</v>
      </c>
    </row>
    <row r="72" spans="1:14" ht="16" thickBot="1" x14ac:dyDescent="0.25">
      <c r="A72" s="1"/>
      <c r="B72" s="1" t="s">
        <v>152</v>
      </c>
      <c r="C72" s="1"/>
      <c r="D72" s="1"/>
      <c r="E72" s="1"/>
      <c r="F72" s="6">
        <f>ROUND(F64+F68-F71,5)</f>
        <v>141.78</v>
      </c>
      <c r="G72" s="3"/>
      <c r="H72" s="6">
        <f>ROUND(H64+H68-H71,5)</f>
        <v>57.44</v>
      </c>
      <c r="I72" s="3"/>
      <c r="J72" s="6">
        <f>ROUND(J64+J68-J71,5)</f>
        <v>181.05</v>
      </c>
      <c r="K72" s="3"/>
      <c r="L72" s="6">
        <f>ROUND(L64+L68-L71,5)</f>
        <v>213.49</v>
      </c>
      <c r="M72" s="3"/>
      <c r="N72" s="6">
        <f>ROUND(SUM(F72:L72),5)</f>
        <v>593.76</v>
      </c>
    </row>
    <row r="73" spans="1:14" s="8" customFormat="1" ht="12" thickBot="1" x14ac:dyDescent="0.2">
      <c r="A73" s="1" t="s">
        <v>74</v>
      </c>
      <c r="B73" s="1"/>
      <c r="C73" s="1"/>
      <c r="D73" s="1"/>
      <c r="E73" s="1"/>
      <c r="F73" s="7">
        <f>ROUND(F63+F72,5)</f>
        <v>7646.98</v>
      </c>
      <c r="G73" s="1"/>
      <c r="H73" s="7">
        <f>ROUND(H63+H72,5)</f>
        <v>-205276.6</v>
      </c>
      <c r="I73" s="1"/>
      <c r="J73" s="7">
        <f>ROUND(J63+J72,5)</f>
        <v>-251286.98</v>
      </c>
      <c r="K73" s="1"/>
      <c r="L73" s="7">
        <f>ROUND(L63+L72,5)</f>
        <v>-411949.62</v>
      </c>
      <c r="M73" s="1"/>
      <c r="N73" s="7">
        <f>ROUND(SUM(F73:L73),5)</f>
        <v>-860866.22</v>
      </c>
    </row>
    <row r="74" spans="1:14" ht="16" thickTop="1" x14ac:dyDescent="0.2"/>
  </sheetData>
  <pageMargins left="0.7" right="0.7" top="0.75" bottom="0.75" header="0.1" footer="0.3"/>
  <pageSetup orientation="portrait" r:id="rId1"/>
  <headerFooter>
    <oddHeader>&amp;L&amp;"Arial,Bold"&amp;8 8:17 PM
&amp;"Arial,Bold"&amp;8 02/10/26
&amp;"Arial,Bold"&amp;8 Cash Basis&amp;C&amp;"Arial,Bold"&amp;12 Summit Technology Laboratory
&amp;"Arial,Bold"&amp;14 Profit &amp;&amp; Loss
&amp;"Arial,Bold"&amp;10 January through December 2025</oddHeader>
    <oddFooter>&amp;R&amp;"Arial,Bold"&amp;8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8C5B-5E0E-4B18-9A93-005C5B51E9CE}">
  <dimension ref="A1:M77"/>
  <sheetViews>
    <sheetView zoomScale="150" zoomScaleNormal="150" workbookViewId="0">
      <pane xSplit="6" ySplit="1" topLeftCell="G2" activePane="bottomRight" state="frozenSplit"/>
      <selection pane="topRight" activeCell="G1" sqref="G1"/>
      <selection pane="bottomLeft" activeCell="A2" sqref="A2"/>
      <selection pane="bottomRight" activeCell="F11" sqref="F11"/>
    </sheetView>
  </sheetViews>
  <sheetFormatPr baseColWidth="10" defaultColWidth="8.83203125" defaultRowHeight="15" outlineLevelCol="1" x14ac:dyDescent="0.2"/>
  <cols>
    <col min="1" max="5" width="3" style="8" customWidth="1"/>
    <col min="6" max="6" width="33.33203125" style="8" customWidth="1"/>
    <col min="7" max="7" width="10" hidden="1" customWidth="1" outlineLevel="1"/>
    <col min="8" max="8" width="2.33203125" hidden="1" customWidth="1" outlineLevel="1"/>
    <col min="9" max="9" width="10" hidden="1" customWidth="1" outlineLevel="1"/>
    <col min="10" max="10" width="2.33203125" hidden="1" customWidth="1" outlineLevel="1"/>
    <col min="11" max="11" width="10.5" hidden="1" customWidth="1" outlineLevel="1"/>
    <col min="12" max="12" width="2.33203125" hidden="1" customWidth="1" outlineLevel="1"/>
    <col min="13" max="13" width="10.5" bestFit="1" customWidth="1" collapsed="1"/>
  </cols>
  <sheetData>
    <row r="1" spans="1:13" s="12" customFormat="1" ht="16" thickBot="1" x14ac:dyDescent="0.25">
      <c r="A1" s="9"/>
      <c r="B1" s="9"/>
      <c r="C1" s="9"/>
      <c r="D1" s="9"/>
      <c r="E1" s="9"/>
      <c r="F1" s="9"/>
      <c r="G1" s="10" t="s">
        <v>0</v>
      </c>
      <c r="H1" s="11"/>
      <c r="I1" s="10" t="s">
        <v>1</v>
      </c>
      <c r="J1" s="11"/>
      <c r="K1" s="10" t="s">
        <v>2</v>
      </c>
      <c r="L1" s="11"/>
      <c r="M1" s="10" t="s">
        <v>3</v>
      </c>
    </row>
    <row r="2" spans="1:13" ht="16" thickTop="1" x14ac:dyDescent="0.2">
      <c r="A2" s="1" t="s">
        <v>4</v>
      </c>
      <c r="B2" s="1"/>
      <c r="C2" s="1"/>
      <c r="D2" s="1"/>
      <c r="E2" s="1"/>
      <c r="F2" s="1"/>
      <c r="G2" s="2"/>
      <c r="H2" s="3"/>
      <c r="I2" s="2"/>
      <c r="J2" s="3"/>
      <c r="K2" s="2"/>
      <c r="L2" s="3"/>
      <c r="M2" s="2"/>
    </row>
    <row r="3" spans="1:13" x14ac:dyDescent="0.2">
      <c r="A3" s="1"/>
      <c r="B3" s="1" t="s">
        <v>5</v>
      </c>
      <c r="C3" s="1"/>
      <c r="D3" s="1"/>
      <c r="E3" s="1"/>
      <c r="F3" s="1"/>
      <c r="G3" s="2"/>
      <c r="H3" s="3"/>
      <c r="I3" s="2"/>
      <c r="J3" s="3"/>
      <c r="K3" s="2"/>
      <c r="L3" s="3"/>
      <c r="M3" s="2"/>
    </row>
    <row r="4" spans="1:13" x14ac:dyDescent="0.2">
      <c r="A4" s="1"/>
      <c r="B4" s="1"/>
      <c r="C4" s="1" t="s">
        <v>6</v>
      </c>
      <c r="D4" s="1"/>
      <c r="E4" s="1"/>
      <c r="F4" s="1"/>
      <c r="G4" s="2"/>
      <c r="H4" s="3"/>
      <c r="I4" s="2"/>
      <c r="J4" s="3"/>
      <c r="K4" s="2"/>
      <c r="L4" s="3"/>
      <c r="M4" s="2"/>
    </row>
    <row r="5" spans="1:13" x14ac:dyDescent="0.2">
      <c r="A5" s="1"/>
      <c r="B5" s="1"/>
      <c r="C5" s="1"/>
      <c r="D5" s="1" t="s">
        <v>7</v>
      </c>
      <c r="E5" s="1"/>
      <c r="F5" s="1"/>
      <c r="G5" s="2">
        <v>195928.98</v>
      </c>
      <c r="H5" s="3"/>
      <c r="I5" s="2">
        <v>91238.84</v>
      </c>
      <c r="J5" s="3"/>
      <c r="K5" s="2">
        <v>71123.95</v>
      </c>
      <c r="L5" s="3"/>
      <c r="M5" s="2">
        <v>190727.47</v>
      </c>
    </row>
    <row r="6" spans="1:13" x14ac:dyDescent="0.2">
      <c r="A6" s="1"/>
      <c r="B6" s="1"/>
      <c r="C6" s="1"/>
      <c r="D6" s="1" t="s">
        <v>8</v>
      </c>
      <c r="E6" s="1"/>
      <c r="F6" s="1"/>
      <c r="G6" s="2">
        <v>10753.72</v>
      </c>
      <c r="H6" s="3"/>
      <c r="I6" s="2">
        <v>10863.72</v>
      </c>
      <c r="J6" s="3"/>
      <c r="K6" s="2">
        <v>11094.77</v>
      </c>
      <c r="L6" s="3"/>
      <c r="M6" s="2">
        <v>642.26</v>
      </c>
    </row>
    <row r="7" spans="1:13" x14ac:dyDescent="0.2">
      <c r="A7" s="1"/>
      <c r="B7" s="1"/>
      <c r="C7" s="1"/>
      <c r="D7" s="1" t="s">
        <v>9</v>
      </c>
      <c r="E7" s="1"/>
      <c r="F7" s="1"/>
      <c r="G7" s="2">
        <v>0</v>
      </c>
      <c r="H7" s="3"/>
      <c r="I7" s="2">
        <v>22973.19</v>
      </c>
      <c r="J7" s="3"/>
      <c r="K7" s="2">
        <v>3218.81</v>
      </c>
      <c r="L7" s="3"/>
      <c r="M7" s="2">
        <v>3718.81</v>
      </c>
    </row>
    <row r="8" spans="1:13" ht="16" thickBot="1" x14ac:dyDescent="0.25">
      <c r="A8" s="1"/>
      <c r="B8" s="1"/>
      <c r="C8" s="1"/>
      <c r="D8" s="1" t="s">
        <v>10</v>
      </c>
      <c r="E8" s="1"/>
      <c r="F8" s="1"/>
      <c r="G8" s="4">
        <v>7250.69</v>
      </c>
      <c r="H8" s="3"/>
      <c r="I8" s="4">
        <v>0</v>
      </c>
      <c r="J8" s="3"/>
      <c r="K8" s="4">
        <v>0</v>
      </c>
      <c r="L8" s="3"/>
      <c r="M8" s="4">
        <v>0</v>
      </c>
    </row>
    <row r="9" spans="1:13" x14ac:dyDescent="0.2">
      <c r="A9" s="1"/>
      <c r="B9" s="1"/>
      <c r="C9" s="1" t="s">
        <v>11</v>
      </c>
      <c r="D9" s="1"/>
      <c r="E9" s="1"/>
      <c r="F9" s="1"/>
      <c r="G9" s="2">
        <f>ROUND(SUM(G4:G8),5)</f>
        <v>213933.39</v>
      </c>
      <c r="H9" s="3"/>
      <c r="I9" s="2">
        <f>ROUND(SUM(I4:I8),5)</f>
        <v>125075.75</v>
      </c>
      <c r="J9" s="3"/>
      <c r="K9" s="2">
        <f>ROUND(SUM(K4:K8),5)</f>
        <v>85437.53</v>
      </c>
      <c r="L9" s="3"/>
      <c r="M9" s="2">
        <f>ROUND(SUM(M4:M8),5)</f>
        <v>195088.54</v>
      </c>
    </row>
    <row r="10" spans="1:13" x14ac:dyDescent="0.2">
      <c r="A10" s="1"/>
      <c r="B10" s="1"/>
      <c r="C10" s="1" t="s">
        <v>12</v>
      </c>
      <c r="D10" s="1"/>
      <c r="E10" s="1"/>
      <c r="F10" s="1"/>
      <c r="G10" s="2"/>
      <c r="H10" s="3"/>
      <c r="I10" s="2"/>
      <c r="J10" s="3"/>
      <c r="K10" s="2"/>
      <c r="L10" s="3"/>
      <c r="M10" s="2"/>
    </row>
    <row r="11" spans="1:13" x14ac:dyDescent="0.2">
      <c r="A11" s="1"/>
      <c r="B11" s="1"/>
      <c r="C11" s="1"/>
      <c r="D11" s="1" t="s">
        <v>13</v>
      </c>
      <c r="E11" s="1"/>
      <c r="F11" s="1"/>
      <c r="G11" s="2">
        <v>27.88</v>
      </c>
      <c r="H11" s="3"/>
      <c r="I11" s="2">
        <v>0</v>
      </c>
      <c r="J11" s="3"/>
      <c r="K11" s="2">
        <v>0</v>
      </c>
      <c r="L11" s="3"/>
      <c r="M11" s="2">
        <v>0</v>
      </c>
    </row>
    <row r="12" spans="1:13" x14ac:dyDescent="0.2">
      <c r="A12" s="1"/>
      <c r="B12" s="1"/>
      <c r="C12" s="1"/>
      <c r="D12" s="1" t="s">
        <v>14</v>
      </c>
      <c r="E12" s="1"/>
      <c r="F12" s="1"/>
      <c r="G12" s="2">
        <v>24.68</v>
      </c>
      <c r="H12" s="3"/>
      <c r="I12" s="2">
        <v>0</v>
      </c>
      <c r="J12" s="3"/>
      <c r="K12" s="2">
        <v>0</v>
      </c>
      <c r="L12" s="3"/>
      <c r="M12" s="2">
        <v>0</v>
      </c>
    </row>
    <row r="13" spans="1:13" x14ac:dyDescent="0.2">
      <c r="A13" s="1"/>
      <c r="B13" s="1"/>
      <c r="C13" s="1"/>
      <c r="D13" s="1" t="s">
        <v>15</v>
      </c>
      <c r="E13" s="1"/>
      <c r="F13" s="1"/>
      <c r="G13" s="2">
        <v>1426</v>
      </c>
      <c r="H13" s="3"/>
      <c r="I13" s="2">
        <v>0</v>
      </c>
      <c r="J13" s="3"/>
      <c r="K13" s="2">
        <v>0</v>
      </c>
      <c r="L13" s="3"/>
      <c r="M13" s="2">
        <v>0</v>
      </c>
    </row>
    <row r="14" spans="1:13" ht="16" thickBot="1" x14ac:dyDescent="0.25">
      <c r="A14" s="1"/>
      <c r="B14" s="1"/>
      <c r="C14" s="1"/>
      <c r="D14" s="1" t="s">
        <v>16</v>
      </c>
      <c r="E14" s="1"/>
      <c r="F14" s="1"/>
      <c r="G14" s="2">
        <v>0</v>
      </c>
      <c r="H14" s="3"/>
      <c r="I14" s="2">
        <v>4448</v>
      </c>
      <c r="J14" s="3"/>
      <c r="K14" s="2">
        <v>4448</v>
      </c>
      <c r="L14" s="3"/>
      <c r="M14" s="2">
        <v>4448</v>
      </c>
    </row>
    <row r="15" spans="1:13" ht="16" thickBot="1" x14ac:dyDescent="0.25">
      <c r="A15" s="1"/>
      <c r="B15" s="1"/>
      <c r="C15" s="1" t="s">
        <v>17</v>
      </c>
      <c r="D15" s="1"/>
      <c r="E15" s="1"/>
      <c r="F15" s="1"/>
      <c r="G15" s="5">
        <f>ROUND(SUM(G10:G14),5)</f>
        <v>1478.56</v>
      </c>
      <c r="H15" s="3"/>
      <c r="I15" s="5">
        <f>ROUND(SUM(I10:I14),5)</f>
        <v>4448</v>
      </c>
      <c r="J15" s="3"/>
      <c r="K15" s="5">
        <f>ROUND(SUM(K10:K14),5)</f>
        <v>4448</v>
      </c>
      <c r="L15" s="3"/>
      <c r="M15" s="5">
        <f>ROUND(SUM(M10:M14),5)</f>
        <v>4448</v>
      </c>
    </row>
    <row r="16" spans="1:13" x14ac:dyDescent="0.2">
      <c r="A16" s="1"/>
      <c r="B16" s="1" t="s">
        <v>18</v>
      </c>
      <c r="C16" s="1"/>
      <c r="D16" s="1"/>
      <c r="E16" s="1"/>
      <c r="F16" s="1"/>
      <c r="G16" s="2">
        <f>ROUND(G3+G9+G15,5)</f>
        <v>215411.95</v>
      </c>
      <c r="H16" s="3"/>
      <c r="I16" s="2">
        <f>ROUND(I3+I9+I15,5)</f>
        <v>129523.75</v>
      </c>
      <c r="J16" s="3"/>
      <c r="K16" s="2">
        <f>ROUND(K3+K9+K15,5)</f>
        <v>89885.53</v>
      </c>
      <c r="L16" s="3"/>
      <c r="M16" s="2">
        <f>ROUND(M3+M9+M15,5)</f>
        <v>199536.54</v>
      </c>
    </row>
    <row r="17" spans="1:13" x14ac:dyDescent="0.2">
      <c r="A17" s="1"/>
      <c r="B17" s="1" t="s">
        <v>19</v>
      </c>
      <c r="C17" s="1"/>
      <c r="D17" s="1"/>
      <c r="E17" s="1"/>
      <c r="F17" s="1"/>
      <c r="G17" s="2"/>
      <c r="H17" s="3"/>
      <c r="I17" s="2"/>
      <c r="J17" s="3"/>
      <c r="K17" s="2"/>
      <c r="L17" s="3"/>
      <c r="M17" s="2"/>
    </row>
    <row r="18" spans="1:13" x14ac:dyDescent="0.2">
      <c r="A18" s="1"/>
      <c r="B18" s="1"/>
      <c r="C18" s="1" t="s">
        <v>20</v>
      </c>
      <c r="D18" s="1"/>
      <c r="E18" s="1"/>
      <c r="F18" s="1"/>
      <c r="G18" s="2">
        <v>99761.12</v>
      </c>
      <c r="H18" s="3"/>
      <c r="I18" s="2">
        <v>99761.12</v>
      </c>
      <c r="J18" s="3"/>
      <c r="K18" s="2">
        <v>99761.12</v>
      </c>
      <c r="L18" s="3"/>
      <c r="M18" s="2">
        <v>99761.12</v>
      </c>
    </row>
    <row r="19" spans="1:13" ht="16" thickBot="1" x14ac:dyDescent="0.25">
      <c r="A19" s="1"/>
      <c r="B19" s="1"/>
      <c r="C19" s="1" t="s">
        <v>21</v>
      </c>
      <c r="D19" s="1"/>
      <c r="E19" s="1"/>
      <c r="F19" s="1"/>
      <c r="G19" s="4">
        <v>-99761.12</v>
      </c>
      <c r="H19" s="3"/>
      <c r="I19" s="4">
        <v>-99761.12</v>
      </c>
      <c r="J19" s="3"/>
      <c r="K19" s="4">
        <v>-99761.12</v>
      </c>
      <c r="L19" s="3"/>
      <c r="M19" s="4">
        <v>-99761.12</v>
      </c>
    </row>
    <row r="20" spans="1:13" x14ac:dyDescent="0.2">
      <c r="A20" s="1"/>
      <c r="B20" s="1" t="s">
        <v>22</v>
      </c>
      <c r="C20" s="1"/>
      <c r="D20" s="1"/>
      <c r="E20" s="1"/>
      <c r="F20" s="1"/>
      <c r="G20" s="2">
        <f>ROUND(SUM(G17:G19),5)</f>
        <v>0</v>
      </c>
      <c r="H20" s="3"/>
      <c r="I20" s="2">
        <f>ROUND(SUM(I17:I19),5)</f>
        <v>0</v>
      </c>
      <c r="J20" s="3"/>
      <c r="K20" s="2">
        <f>ROUND(SUM(K17:K19),5)</f>
        <v>0</v>
      </c>
      <c r="L20" s="3"/>
      <c r="M20" s="2">
        <f>ROUND(SUM(M17:M19),5)</f>
        <v>0</v>
      </c>
    </row>
    <row r="21" spans="1:13" x14ac:dyDescent="0.2">
      <c r="A21" s="1"/>
      <c r="B21" s="1" t="s">
        <v>23</v>
      </c>
      <c r="C21" s="1"/>
      <c r="D21" s="1"/>
      <c r="E21" s="1"/>
      <c r="F21" s="1"/>
      <c r="G21" s="2"/>
      <c r="H21" s="3"/>
      <c r="I21" s="2"/>
      <c r="J21" s="3"/>
      <c r="K21" s="2"/>
      <c r="L21" s="3"/>
      <c r="M21" s="2"/>
    </row>
    <row r="22" spans="1:13" x14ac:dyDescent="0.2">
      <c r="A22" s="1"/>
      <c r="B22" s="1"/>
      <c r="C22" s="1" t="s">
        <v>24</v>
      </c>
      <c r="D22" s="1"/>
      <c r="E22" s="1"/>
      <c r="F22" s="1"/>
      <c r="G22" s="2"/>
      <c r="H22" s="3"/>
      <c r="I22" s="2"/>
      <c r="J22" s="3"/>
      <c r="K22" s="2"/>
      <c r="L22" s="3"/>
      <c r="M22" s="2"/>
    </row>
    <row r="23" spans="1:13" x14ac:dyDescent="0.2">
      <c r="A23" s="1"/>
      <c r="B23" s="1"/>
      <c r="C23" s="1"/>
      <c r="D23" s="1" t="s">
        <v>25</v>
      </c>
      <c r="E23" s="1"/>
      <c r="F23" s="1"/>
      <c r="G23" s="2">
        <v>821891</v>
      </c>
      <c r="H23" s="3"/>
      <c r="I23" s="2">
        <v>821891</v>
      </c>
      <c r="J23" s="3"/>
      <c r="K23" s="2">
        <v>821891</v>
      </c>
      <c r="L23" s="3"/>
      <c r="M23" s="2">
        <v>821891</v>
      </c>
    </row>
    <row r="24" spans="1:13" x14ac:dyDescent="0.2">
      <c r="A24" s="1"/>
      <c r="B24" s="1"/>
      <c r="C24" s="1"/>
      <c r="D24" s="1" t="s">
        <v>26</v>
      </c>
      <c r="E24" s="1"/>
      <c r="F24" s="1"/>
      <c r="G24" s="2">
        <v>691743.72</v>
      </c>
      <c r="H24" s="3"/>
      <c r="I24" s="2">
        <v>691743.72</v>
      </c>
      <c r="J24" s="3"/>
      <c r="K24" s="2">
        <v>691743.72</v>
      </c>
      <c r="L24" s="3"/>
      <c r="M24" s="2">
        <v>691743.72</v>
      </c>
    </row>
    <row r="25" spans="1:13" x14ac:dyDescent="0.2">
      <c r="A25" s="1"/>
      <c r="B25" s="1"/>
      <c r="C25" s="1"/>
      <c r="D25" s="1" t="s">
        <v>27</v>
      </c>
      <c r="E25" s="1"/>
      <c r="F25" s="1"/>
      <c r="G25" s="2">
        <v>777355.98</v>
      </c>
      <c r="H25" s="3"/>
      <c r="I25" s="2">
        <v>777355.98</v>
      </c>
      <c r="J25" s="3"/>
      <c r="K25" s="2">
        <v>777355.98</v>
      </c>
      <c r="L25" s="3"/>
      <c r="M25" s="2">
        <v>777355.98</v>
      </c>
    </row>
    <row r="26" spans="1:13" ht="16" thickBot="1" x14ac:dyDescent="0.25">
      <c r="A26" s="1"/>
      <c r="B26" s="1"/>
      <c r="C26" s="1"/>
      <c r="D26" s="1" t="s">
        <v>28</v>
      </c>
      <c r="E26" s="1"/>
      <c r="F26" s="1"/>
      <c r="G26" s="4">
        <v>-806473.03</v>
      </c>
      <c r="H26" s="3"/>
      <c r="I26" s="4">
        <v>-916741.9</v>
      </c>
      <c r="J26" s="3"/>
      <c r="K26" s="4">
        <v>-1027010.77</v>
      </c>
      <c r="L26" s="3"/>
      <c r="M26" s="4">
        <v>-1137279.6399999999</v>
      </c>
    </row>
    <row r="27" spans="1:13" x14ac:dyDescent="0.2">
      <c r="A27" s="1"/>
      <c r="B27" s="1"/>
      <c r="C27" s="1" t="s">
        <v>29</v>
      </c>
      <c r="D27" s="1"/>
      <c r="E27" s="1"/>
      <c r="F27" s="1"/>
      <c r="G27" s="2">
        <f>ROUND(SUM(G22:G26),5)</f>
        <v>1484517.67</v>
      </c>
      <c r="H27" s="3"/>
      <c r="I27" s="2">
        <f>ROUND(SUM(I22:I26),5)</f>
        <v>1374248.8</v>
      </c>
      <c r="J27" s="3"/>
      <c r="K27" s="2">
        <f>ROUND(SUM(K22:K26),5)</f>
        <v>1263979.93</v>
      </c>
      <c r="L27" s="3"/>
      <c r="M27" s="2">
        <f>ROUND(SUM(M22:M26),5)</f>
        <v>1153711.06</v>
      </c>
    </row>
    <row r="28" spans="1:13" ht="16" thickBot="1" x14ac:dyDescent="0.25">
      <c r="A28" s="1"/>
      <c r="B28" s="1"/>
      <c r="C28" s="1" t="s">
        <v>30</v>
      </c>
      <c r="D28" s="1"/>
      <c r="E28" s="1"/>
      <c r="F28" s="1"/>
      <c r="G28" s="2">
        <v>6000</v>
      </c>
      <c r="H28" s="3"/>
      <c r="I28" s="2">
        <v>6000</v>
      </c>
      <c r="J28" s="3"/>
      <c r="K28" s="2">
        <v>6000</v>
      </c>
      <c r="L28" s="3"/>
      <c r="M28" s="2">
        <v>6000</v>
      </c>
    </row>
    <row r="29" spans="1:13" ht="16" thickBot="1" x14ac:dyDescent="0.25">
      <c r="A29" s="1"/>
      <c r="B29" s="1" t="s">
        <v>31</v>
      </c>
      <c r="C29" s="1"/>
      <c r="D29" s="1"/>
      <c r="E29" s="1"/>
      <c r="F29" s="1"/>
      <c r="G29" s="6">
        <f>ROUND(G21+SUM(G27:G28),5)</f>
        <v>1490517.67</v>
      </c>
      <c r="H29" s="3"/>
      <c r="I29" s="6">
        <f>ROUND(I21+SUM(I27:I28),5)</f>
        <v>1380248.8</v>
      </c>
      <c r="J29" s="3"/>
      <c r="K29" s="6">
        <f>ROUND(K21+SUM(K27:K28),5)</f>
        <v>1269979.93</v>
      </c>
      <c r="L29" s="3"/>
      <c r="M29" s="6">
        <f>ROUND(M21+SUM(M27:M28),5)</f>
        <v>1159711.06</v>
      </c>
    </row>
    <row r="30" spans="1:13" s="8" customFormat="1" ht="12" thickBot="1" x14ac:dyDescent="0.2">
      <c r="A30" s="1" t="s">
        <v>32</v>
      </c>
      <c r="B30" s="1"/>
      <c r="C30" s="1"/>
      <c r="D30" s="1"/>
      <c r="E30" s="1"/>
      <c r="F30" s="1"/>
      <c r="G30" s="7">
        <f>ROUND(G2+G16+G20+G29,5)</f>
        <v>1705929.62</v>
      </c>
      <c r="H30" s="1"/>
      <c r="I30" s="7">
        <f>ROUND(I2+I16+I20+I29,5)</f>
        <v>1509772.55</v>
      </c>
      <c r="J30" s="1"/>
      <c r="K30" s="7">
        <f>ROUND(K2+K16+K20+K29,5)</f>
        <v>1359865.46</v>
      </c>
      <c r="L30" s="1"/>
      <c r="M30" s="7">
        <f>ROUND(M2+M16+M20+M29,5)</f>
        <v>1359247.6</v>
      </c>
    </row>
    <row r="31" spans="1:13" ht="16" thickTop="1" x14ac:dyDescent="0.2">
      <c r="A31" s="1" t="s">
        <v>33</v>
      </c>
      <c r="B31" s="1"/>
      <c r="C31" s="1"/>
      <c r="D31" s="1"/>
      <c r="E31" s="1"/>
      <c r="F31" s="1"/>
      <c r="G31" s="2"/>
      <c r="H31" s="3"/>
      <c r="I31" s="2"/>
      <c r="J31" s="3"/>
      <c r="K31" s="2"/>
      <c r="L31" s="3"/>
      <c r="M31" s="2"/>
    </row>
    <row r="32" spans="1:13" x14ac:dyDescent="0.2">
      <c r="A32" s="1"/>
      <c r="B32" s="1" t="s">
        <v>34</v>
      </c>
      <c r="C32" s="1"/>
      <c r="D32" s="1"/>
      <c r="E32" s="1"/>
      <c r="F32" s="1"/>
      <c r="G32" s="2"/>
      <c r="H32" s="3"/>
      <c r="I32" s="2"/>
      <c r="J32" s="3"/>
      <c r="K32" s="2"/>
      <c r="L32" s="3"/>
      <c r="M32" s="2"/>
    </row>
    <row r="33" spans="1:13" x14ac:dyDescent="0.2">
      <c r="A33" s="1"/>
      <c r="B33" s="1"/>
      <c r="C33" s="1" t="s">
        <v>35</v>
      </c>
      <c r="D33" s="1"/>
      <c r="E33" s="1"/>
      <c r="F33" s="1"/>
      <c r="G33" s="2"/>
      <c r="H33" s="3"/>
      <c r="I33" s="2"/>
      <c r="J33" s="3"/>
      <c r="K33" s="2"/>
      <c r="L33" s="3"/>
      <c r="M33" s="2"/>
    </row>
    <row r="34" spans="1:13" x14ac:dyDescent="0.2">
      <c r="A34" s="1"/>
      <c r="B34" s="1"/>
      <c r="C34" s="1"/>
      <c r="D34" s="1" t="s">
        <v>36</v>
      </c>
      <c r="E34" s="1"/>
      <c r="F34" s="1"/>
      <c r="G34" s="2"/>
      <c r="H34" s="3"/>
      <c r="I34" s="2"/>
      <c r="J34" s="3"/>
      <c r="K34" s="2"/>
      <c r="L34" s="3"/>
      <c r="M34" s="2"/>
    </row>
    <row r="35" spans="1:13" ht="16" thickBot="1" x14ac:dyDescent="0.25">
      <c r="A35" s="1"/>
      <c r="B35" s="1"/>
      <c r="C35" s="1"/>
      <c r="D35" s="1"/>
      <c r="E35" s="1" t="s">
        <v>37</v>
      </c>
      <c r="F35" s="1"/>
      <c r="G35" s="4">
        <v>-450</v>
      </c>
      <c r="H35" s="3"/>
      <c r="I35" s="4">
        <v>0</v>
      </c>
      <c r="J35" s="3"/>
      <c r="K35" s="4">
        <v>0</v>
      </c>
      <c r="L35" s="3"/>
      <c r="M35" s="4">
        <v>0</v>
      </c>
    </row>
    <row r="36" spans="1:13" x14ac:dyDescent="0.2">
      <c r="A36" s="1"/>
      <c r="B36" s="1"/>
      <c r="C36" s="1"/>
      <c r="D36" s="1" t="s">
        <v>38</v>
      </c>
      <c r="E36" s="1"/>
      <c r="F36" s="1"/>
      <c r="G36" s="2">
        <f>ROUND(SUM(G34:G35),5)</f>
        <v>-450</v>
      </c>
      <c r="H36" s="3"/>
      <c r="I36" s="2">
        <f>ROUND(SUM(I34:I35),5)</f>
        <v>0</v>
      </c>
      <c r="J36" s="3"/>
      <c r="K36" s="2">
        <f>ROUND(SUM(K34:K35),5)</f>
        <v>0</v>
      </c>
      <c r="L36" s="3"/>
      <c r="M36" s="2">
        <f>ROUND(SUM(M34:M35),5)</f>
        <v>0</v>
      </c>
    </row>
    <row r="37" spans="1:13" x14ac:dyDescent="0.2">
      <c r="A37" s="1"/>
      <c r="B37" s="1"/>
      <c r="C37" s="1"/>
      <c r="D37" s="1" t="s">
        <v>39</v>
      </c>
      <c r="E37" s="1"/>
      <c r="F37" s="1"/>
      <c r="G37" s="2"/>
      <c r="H37" s="3"/>
      <c r="I37" s="2"/>
      <c r="J37" s="3"/>
      <c r="K37" s="2"/>
      <c r="L37" s="3"/>
      <c r="M37" s="2"/>
    </row>
    <row r="38" spans="1:13" x14ac:dyDescent="0.2">
      <c r="A38" s="1"/>
      <c r="B38" s="1"/>
      <c r="C38" s="1"/>
      <c r="D38" s="1"/>
      <c r="E38" s="1" t="s">
        <v>40</v>
      </c>
      <c r="F38" s="1"/>
      <c r="G38" s="2"/>
      <c r="H38" s="3"/>
      <c r="I38" s="2"/>
      <c r="J38" s="3"/>
      <c r="K38" s="2"/>
      <c r="L38" s="3"/>
      <c r="M38" s="2"/>
    </row>
    <row r="39" spans="1:13" x14ac:dyDescent="0.2">
      <c r="A39" s="1"/>
      <c r="B39" s="1"/>
      <c r="C39" s="1"/>
      <c r="D39" s="1"/>
      <c r="E39" s="1"/>
      <c r="F39" s="1" t="s">
        <v>41</v>
      </c>
      <c r="G39" s="2">
        <v>61056.38</v>
      </c>
      <c r="H39" s="3"/>
      <c r="I39" s="2">
        <v>63392.08</v>
      </c>
      <c r="J39" s="3"/>
      <c r="K39" s="2">
        <v>65898.740000000005</v>
      </c>
      <c r="L39" s="3"/>
      <c r="M39" s="2">
        <v>67421.7</v>
      </c>
    </row>
    <row r="40" spans="1:13" x14ac:dyDescent="0.2">
      <c r="A40" s="1"/>
      <c r="B40" s="1"/>
      <c r="C40" s="1"/>
      <c r="D40" s="1"/>
      <c r="E40" s="1"/>
      <c r="F40" s="1" t="s">
        <v>42</v>
      </c>
      <c r="G40" s="2">
        <v>32961.68</v>
      </c>
      <c r="H40" s="3"/>
      <c r="I40" s="2">
        <v>35853.26</v>
      </c>
      <c r="J40" s="3"/>
      <c r="K40" s="2">
        <v>37430.5</v>
      </c>
      <c r="L40" s="3"/>
      <c r="M40" s="2">
        <v>39639.1</v>
      </c>
    </row>
    <row r="41" spans="1:13" x14ac:dyDescent="0.2">
      <c r="A41" s="1"/>
      <c r="B41" s="1"/>
      <c r="C41" s="1"/>
      <c r="D41" s="1"/>
      <c r="E41" s="1"/>
      <c r="F41" s="1" t="s">
        <v>43</v>
      </c>
      <c r="G41" s="2">
        <v>163763.54</v>
      </c>
      <c r="H41" s="3"/>
      <c r="I41" s="2">
        <v>164086.26999999999</v>
      </c>
      <c r="J41" s="3"/>
      <c r="K41" s="2">
        <v>165769.24</v>
      </c>
      <c r="L41" s="3"/>
      <c r="M41" s="2">
        <v>166843.97</v>
      </c>
    </row>
    <row r="42" spans="1:13" x14ac:dyDescent="0.2">
      <c r="A42" s="1"/>
      <c r="B42" s="1"/>
      <c r="C42" s="1"/>
      <c r="D42" s="1"/>
      <c r="E42" s="1"/>
      <c r="F42" s="1" t="s">
        <v>44</v>
      </c>
      <c r="G42" s="2">
        <v>1412.83</v>
      </c>
      <c r="H42" s="3"/>
      <c r="I42" s="2">
        <v>3037.55</v>
      </c>
      <c r="J42" s="3"/>
      <c r="K42" s="2">
        <v>3158.19</v>
      </c>
      <c r="L42" s="3"/>
      <c r="M42" s="2">
        <v>3247.04</v>
      </c>
    </row>
    <row r="43" spans="1:13" ht="16" thickBot="1" x14ac:dyDescent="0.25">
      <c r="A43" s="1"/>
      <c r="B43" s="1"/>
      <c r="C43" s="1"/>
      <c r="D43" s="1"/>
      <c r="E43" s="1"/>
      <c r="F43" s="1" t="s">
        <v>153</v>
      </c>
      <c r="G43" s="4">
        <v>-256628.31</v>
      </c>
      <c r="H43" s="3"/>
      <c r="I43" s="4">
        <v>-262090.58</v>
      </c>
      <c r="J43" s="3"/>
      <c r="K43" s="4">
        <v>-270997.03000000003</v>
      </c>
      <c r="L43" s="3"/>
      <c r="M43" s="4">
        <v>-275047.17</v>
      </c>
    </row>
    <row r="44" spans="1:13" x14ac:dyDescent="0.2">
      <c r="A44" s="1"/>
      <c r="B44" s="1"/>
      <c r="C44" s="1"/>
      <c r="D44" s="1"/>
      <c r="E44" s="1" t="s">
        <v>45</v>
      </c>
      <c r="F44" s="1"/>
      <c r="G44" s="2">
        <f>ROUND(SUM(G38:G43),5)</f>
        <v>2566.12</v>
      </c>
      <c r="H44" s="3"/>
      <c r="I44" s="2">
        <f>ROUND(SUM(I38:I43),5)</f>
        <v>4278.58</v>
      </c>
      <c r="J44" s="3"/>
      <c r="K44" s="2">
        <f>ROUND(SUM(K38:K43),5)</f>
        <v>1259.6400000000001</v>
      </c>
      <c r="L44" s="3"/>
      <c r="M44" s="2">
        <f>ROUND(SUM(M38:M43),5)</f>
        <v>2104.64</v>
      </c>
    </row>
    <row r="45" spans="1:13" x14ac:dyDescent="0.2">
      <c r="A45" s="1"/>
      <c r="B45" s="1"/>
      <c r="C45" s="1"/>
      <c r="D45" s="1"/>
      <c r="E45" s="1" t="s">
        <v>46</v>
      </c>
      <c r="F45" s="1"/>
      <c r="G45" s="2"/>
      <c r="H45" s="3"/>
      <c r="I45" s="2"/>
      <c r="J45" s="3"/>
      <c r="K45" s="2"/>
      <c r="L45" s="3"/>
      <c r="M45" s="2"/>
    </row>
    <row r="46" spans="1:13" x14ac:dyDescent="0.2">
      <c r="A46" s="1"/>
      <c r="B46" s="1"/>
      <c r="C46" s="1"/>
      <c r="D46" s="1"/>
      <c r="E46" s="1"/>
      <c r="F46" s="1" t="s">
        <v>47</v>
      </c>
      <c r="G46" s="2">
        <v>6340.13</v>
      </c>
      <c r="H46" s="3"/>
      <c r="I46" s="2">
        <v>6340.13</v>
      </c>
      <c r="J46" s="3"/>
      <c r="K46" s="2">
        <v>6340.13</v>
      </c>
      <c r="L46" s="3"/>
      <c r="M46" s="2">
        <v>6340.13</v>
      </c>
    </row>
    <row r="47" spans="1:13" x14ac:dyDescent="0.2">
      <c r="A47" s="1"/>
      <c r="B47" s="1"/>
      <c r="C47" s="1"/>
      <c r="D47" s="1"/>
      <c r="E47" s="1"/>
      <c r="F47" s="1" t="s">
        <v>48</v>
      </c>
      <c r="G47" s="2">
        <v>12485.57</v>
      </c>
      <c r="H47" s="3"/>
      <c r="I47" s="2">
        <v>12485.57</v>
      </c>
      <c r="J47" s="3"/>
      <c r="K47" s="2">
        <v>12485.57</v>
      </c>
      <c r="L47" s="3"/>
      <c r="M47" s="2">
        <v>12485.57</v>
      </c>
    </row>
    <row r="48" spans="1:13" x14ac:dyDescent="0.2">
      <c r="A48" s="1"/>
      <c r="B48" s="1"/>
      <c r="C48" s="1"/>
      <c r="D48" s="1"/>
      <c r="E48" s="1"/>
      <c r="F48" s="1" t="s">
        <v>49</v>
      </c>
      <c r="G48" s="2">
        <v>79158.64</v>
      </c>
      <c r="H48" s="3"/>
      <c r="I48" s="2">
        <v>79158.64</v>
      </c>
      <c r="J48" s="3"/>
      <c r="K48" s="2">
        <v>79158.64</v>
      </c>
      <c r="L48" s="3"/>
      <c r="M48" s="2">
        <v>79158.64</v>
      </c>
    </row>
    <row r="49" spans="1:13" x14ac:dyDescent="0.2">
      <c r="A49" s="1"/>
      <c r="B49" s="1"/>
      <c r="C49" s="1"/>
      <c r="D49" s="1"/>
      <c r="E49" s="1"/>
      <c r="F49" s="1" t="s">
        <v>50</v>
      </c>
      <c r="G49" s="2">
        <v>203405.55</v>
      </c>
      <c r="H49" s="3"/>
      <c r="I49" s="2">
        <v>203405.55</v>
      </c>
      <c r="J49" s="3"/>
      <c r="K49" s="2">
        <v>203405.55</v>
      </c>
      <c r="L49" s="3"/>
      <c r="M49" s="2">
        <v>203405.55</v>
      </c>
    </row>
    <row r="50" spans="1:13" x14ac:dyDescent="0.2">
      <c r="A50" s="1"/>
      <c r="B50" s="1"/>
      <c r="C50" s="1"/>
      <c r="D50" s="1"/>
      <c r="E50" s="1"/>
      <c r="F50" s="1" t="s">
        <v>51</v>
      </c>
      <c r="G50" s="2">
        <v>520.33000000000004</v>
      </c>
      <c r="H50" s="3"/>
      <c r="I50" s="2">
        <v>520.33000000000004</v>
      </c>
      <c r="J50" s="3"/>
      <c r="K50" s="2">
        <v>520.33000000000004</v>
      </c>
      <c r="L50" s="3"/>
      <c r="M50" s="2">
        <v>520.33000000000004</v>
      </c>
    </row>
    <row r="51" spans="1:13" ht="16" thickBot="1" x14ac:dyDescent="0.25">
      <c r="A51" s="1"/>
      <c r="B51" s="1"/>
      <c r="C51" s="1"/>
      <c r="D51" s="1"/>
      <c r="E51" s="1"/>
      <c r="F51" s="1" t="s">
        <v>154</v>
      </c>
      <c r="G51" s="2">
        <v>-301910.21999999997</v>
      </c>
      <c r="H51" s="3"/>
      <c r="I51" s="2">
        <v>-301910.21999999997</v>
      </c>
      <c r="J51" s="3"/>
      <c r="K51" s="2">
        <v>-301910.21999999997</v>
      </c>
      <c r="L51" s="3"/>
      <c r="M51" s="2">
        <v>-301910.21999999997</v>
      </c>
    </row>
    <row r="52" spans="1:13" ht="16" thickBot="1" x14ac:dyDescent="0.25">
      <c r="A52" s="1"/>
      <c r="B52" s="1"/>
      <c r="C52" s="1"/>
      <c r="D52" s="1"/>
      <c r="E52" s="1" t="s">
        <v>52</v>
      </c>
      <c r="F52" s="1"/>
      <c r="G52" s="5">
        <f>ROUND(SUM(G45:G51),5)</f>
        <v>0</v>
      </c>
      <c r="H52" s="3"/>
      <c r="I52" s="5">
        <f>ROUND(SUM(I45:I51),5)</f>
        <v>0</v>
      </c>
      <c r="J52" s="3"/>
      <c r="K52" s="5">
        <f>ROUND(SUM(K45:K51),5)</f>
        <v>0</v>
      </c>
      <c r="L52" s="3"/>
      <c r="M52" s="5">
        <f>ROUND(SUM(M45:M51),5)</f>
        <v>0</v>
      </c>
    </row>
    <row r="53" spans="1:13" x14ac:dyDescent="0.2">
      <c r="A53" s="1"/>
      <c r="B53" s="1"/>
      <c r="C53" s="1"/>
      <c r="D53" s="1" t="s">
        <v>53</v>
      </c>
      <c r="E53" s="1"/>
      <c r="F53" s="1"/>
      <c r="G53" s="2">
        <f>ROUND(G37+G44+G52,5)</f>
        <v>2566.12</v>
      </c>
      <c r="H53" s="3"/>
      <c r="I53" s="2">
        <f>ROUND(I37+I44+I52,5)</f>
        <v>4278.58</v>
      </c>
      <c r="J53" s="3"/>
      <c r="K53" s="2">
        <f>ROUND(K37+K44+K52,5)</f>
        <v>1259.6400000000001</v>
      </c>
      <c r="L53" s="3"/>
      <c r="M53" s="2">
        <f>ROUND(M37+M44+M52,5)</f>
        <v>2104.64</v>
      </c>
    </row>
    <row r="54" spans="1:13" x14ac:dyDescent="0.2">
      <c r="A54" s="1"/>
      <c r="B54" s="1"/>
      <c r="C54" s="1"/>
      <c r="D54" s="1" t="s">
        <v>54</v>
      </c>
      <c r="E54" s="1"/>
      <c r="F54" s="1"/>
      <c r="G54" s="2"/>
      <c r="H54" s="3"/>
      <c r="I54" s="2"/>
      <c r="J54" s="3"/>
      <c r="K54" s="2"/>
      <c r="L54" s="3"/>
      <c r="M54" s="2"/>
    </row>
    <row r="55" spans="1:13" x14ac:dyDescent="0.2">
      <c r="A55" s="1"/>
      <c r="B55" s="1"/>
      <c r="C55" s="1"/>
      <c r="D55" s="1"/>
      <c r="E55" s="1" t="s">
        <v>55</v>
      </c>
      <c r="F55" s="1"/>
      <c r="G55" s="2">
        <v>75273.06</v>
      </c>
      <c r="H55" s="3"/>
      <c r="I55" s="2">
        <v>12750</v>
      </c>
      <c r="J55" s="3"/>
      <c r="K55" s="2">
        <v>17018.509999999998</v>
      </c>
      <c r="L55" s="3"/>
      <c r="M55" s="2">
        <v>21492.48</v>
      </c>
    </row>
    <row r="56" spans="1:13" x14ac:dyDescent="0.2">
      <c r="A56" s="1"/>
      <c r="B56" s="1"/>
      <c r="C56" s="1"/>
      <c r="D56" s="1"/>
      <c r="E56" s="1" t="s">
        <v>56</v>
      </c>
      <c r="F56" s="1"/>
      <c r="G56" s="2">
        <v>45379.75</v>
      </c>
      <c r="H56" s="3"/>
      <c r="I56" s="2">
        <v>0</v>
      </c>
      <c r="J56" s="3"/>
      <c r="K56" s="2">
        <v>0</v>
      </c>
      <c r="L56" s="3"/>
      <c r="M56" s="2">
        <v>0</v>
      </c>
    </row>
    <row r="57" spans="1:13" x14ac:dyDescent="0.2">
      <c r="A57" s="1"/>
      <c r="B57" s="1"/>
      <c r="C57" s="1"/>
      <c r="D57" s="1"/>
      <c r="E57" s="1" t="s">
        <v>57</v>
      </c>
      <c r="F57" s="1"/>
      <c r="G57" s="2">
        <v>0</v>
      </c>
      <c r="H57" s="3"/>
      <c r="I57" s="2">
        <v>0</v>
      </c>
      <c r="J57" s="3"/>
      <c r="K57" s="2">
        <v>0</v>
      </c>
      <c r="L57" s="3"/>
      <c r="M57" s="2">
        <v>22360</v>
      </c>
    </row>
    <row r="58" spans="1:13" x14ac:dyDescent="0.2">
      <c r="A58" s="1"/>
      <c r="B58" s="1"/>
      <c r="C58" s="1"/>
      <c r="D58" s="1"/>
      <c r="E58" s="1" t="s">
        <v>58</v>
      </c>
      <c r="F58" s="1"/>
      <c r="G58" s="2">
        <v>800</v>
      </c>
      <c r="H58" s="3"/>
      <c r="I58" s="2">
        <v>0</v>
      </c>
      <c r="J58" s="3"/>
      <c r="K58" s="2">
        <v>0</v>
      </c>
      <c r="L58" s="3"/>
      <c r="M58" s="2">
        <v>0</v>
      </c>
    </row>
    <row r="59" spans="1:13" ht="16" thickBot="1" x14ac:dyDescent="0.25">
      <c r="A59" s="1"/>
      <c r="B59" s="1"/>
      <c r="C59" s="1"/>
      <c r="D59" s="1"/>
      <c r="E59" s="1" t="s">
        <v>59</v>
      </c>
      <c r="F59" s="1"/>
      <c r="G59" s="2">
        <v>0</v>
      </c>
      <c r="H59" s="3"/>
      <c r="I59" s="2">
        <v>0</v>
      </c>
      <c r="J59" s="3"/>
      <c r="K59" s="2">
        <v>0</v>
      </c>
      <c r="L59" s="3"/>
      <c r="M59" s="2">
        <v>96785.15</v>
      </c>
    </row>
    <row r="60" spans="1:13" ht="16" thickBot="1" x14ac:dyDescent="0.25">
      <c r="A60" s="1"/>
      <c r="B60" s="1"/>
      <c r="C60" s="1"/>
      <c r="D60" s="1" t="s">
        <v>60</v>
      </c>
      <c r="E60" s="1"/>
      <c r="F60" s="1"/>
      <c r="G60" s="5">
        <f>ROUND(SUM(G54:G59),5)</f>
        <v>121452.81</v>
      </c>
      <c r="H60" s="3"/>
      <c r="I60" s="5">
        <f>ROUND(SUM(I54:I59),5)</f>
        <v>12750</v>
      </c>
      <c r="J60" s="3"/>
      <c r="K60" s="5">
        <f>ROUND(SUM(K54:K59),5)</f>
        <v>17018.509999999998</v>
      </c>
      <c r="L60" s="3"/>
      <c r="M60" s="5">
        <f>ROUND(SUM(M54:M59),5)</f>
        <v>140637.63</v>
      </c>
    </row>
    <row r="61" spans="1:13" x14ac:dyDescent="0.2">
      <c r="A61" s="1"/>
      <c r="B61" s="1"/>
      <c r="C61" s="1" t="s">
        <v>61</v>
      </c>
      <c r="D61" s="1"/>
      <c r="E61" s="1"/>
      <c r="F61" s="1"/>
      <c r="G61" s="2">
        <f>ROUND(G33+G36+G53+G60,5)</f>
        <v>123568.93</v>
      </c>
      <c r="H61" s="3"/>
      <c r="I61" s="2">
        <f>ROUND(I33+I36+I53+I60,5)</f>
        <v>17028.580000000002</v>
      </c>
      <c r="J61" s="3"/>
      <c r="K61" s="2">
        <f>ROUND(K33+K36+K53+K60,5)</f>
        <v>18278.150000000001</v>
      </c>
      <c r="L61" s="3"/>
      <c r="M61" s="2">
        <f>ROUND(M33+M36+M53+M60,5)</f>
        <v>142742.26999999999</v>
      </c>
    </row>
    <row r="62" spans="1:13" x14ac:dyDescent="0.2">
      <c r="A62" s="1"/>
      <c r="B62" s="1"/>
      <c r="C62" s="1" t="s">
        <v>62</v>
      </c>
      <c r="D62" s="1"/>
      <c r="E62" s="1"/>
      <c r="F62" s="1"/>
      <c r="G62" s="2"/>
      <c r="H62" s="3"/>
      <c r="I62" s="2"/>
      <c r="J62" s="3"/>
      <c r="K62" s="2"/>
      <c r="L62" s="3"/>
      <c r="M62" s="2"/>
    </row>
    <row r="63" spans="1:13" x14ac:dyDescent="0.2">
      <c r="A63" s="1"/>
      <c r="B63" s="1"/>
      <c r="C63" s="1"/>
      <c r="D63" s="1" t="s">
        <v>63</v>
      </c>
      <c r="E63" s="1"/>
      <c r="F63" s="1"/>
      <c r="G63" s="2">
        <v>255000</v>
      </c>
      <c r="H63" s="3"/>
      <c r="I63" s="2">
        <v>255000</v>
      </c>
      <c r="J63" s="3"/>
      <c r="K63" s="2">
        <v>355000</v>
      </c>
      <c r="L63" s="3"/>
      <c r="M63" s="2">
        <v>600000</v>
      </c>
    </row>
    <row r="64" spans="1:13" x14ac:dyDescent="0.2">
      <c r="A64" s="1"/>
      <c r="B64" s="1"/>
      <c r="C64" s="1"/>
      <c r="D64" s="1" t="s">
        <v>64</v>
      </c>
      <c r="E64" s="1"/>
      <c r="F64" s="1"/>
      <c r="G64" s="2">
        <v>0</v>
      </c>
      <c r="H64" s="3"/>
      <c r="I64" s="2">
        <v>65701.81</v>
      </c>
      <c r="J64" s="3"/>
      <c r="K64" s="2">
        <v>65701.81</v>
      </c>
      <c r="L64" s="3"/>
      <c r="M64" s="2">
        <v>65701.81</v>
      </c>
    </row>
    <row r="65" spans="1:13" ht="16" thickBot="1" x14ac:dyDescent="0.25">
      <c r="A65" s="1"/>
      <c r="B65" s="1"/>
      <c r="C65" s="1"/>
      <c r="D65" s="1" t="s">
        <v>65</v>
      </c>
      <c r="E65" s="1"/>
      <c r="F65" s="1"/>
      <c r="G65" s="2">
        <v>25615.8</v>
      </c>
      <c r="H65" s="3"/>
      <c r="I65" s="2">
        <v>25615.8</v>
      </c>
      <c r="J65" s="3"/>
      <c r="K65" s="2">
        <v>25615.8</v>
      </c>
      <c r="L65" s="3"/>
      <c r="M65" s="2">
        <v>25615.8</v>
      </c>
    </row>
    <row r="66" spans="1:13" ht="16" thickBot="1" x14ac:dyDescent="0.25">
      <c r="A66" s="1"/>
      <c r="B66" s="1"/>
      <c r="C66" s="1" t="s">
        <v>66</v>
      </c>
      <c r="D66" s="1"/>
      <c r="E66" s="1"/>
      <c r="F66" s="1"/>
      <c r="G66" s="5">
        <f>ROUND(SUM(G62:G65),5)</f>
        <v>280615.8</v>
      </c>
      <c r="H66" s="3"/>
      <c r="I66" s="5">
        <f>ROUND(SUM(I62:I65),5)</f>
        <v>346317.61</v>
      </c>
      <c r="J66" s="3"/>
      <c r="K66" s="5">
        <f>ROUND(SUM(K62:K65),5)</f>
        <v>446317.61</v>
      </c>
      <c r="L66" s="3"/>
      <c r="M66" s="5">
        <f>ROUND(SUM(M62:M65),5)</f>
        <v>691317.61</v>
      </c>
    </row>
    <row r="67" spans="1:13" x14ac:dyDescent="0.2">
      <c r="A67" s="1"/>
      <c r="B67" s="1" t="s">
        <v>67</v>
      </c>
      <c r="C67" s="1"/>
      <c r="D67" s="1"/>
      <c r="E67" s="1"/>
      <c r="F67" s="1"/>
      <c r="G67" s="2">
        <f>ROUND(G32+G61+G66,5)</f>
        <v>404184.73</v>
      </c>
      <c r="H67" s="3"/>
      <c r="I67" s="2">
        <f>ROUND(I32+I61+I66,5)</f>
        <v>363346.19</v>
      </c>
      <c r="J67" s="3"/>
      <c r="K67" s="2">
        <f>ROUND(K32+K61+K66,5)</f>
        <v>464595.76</v>
      </c>
      <c r="L67" s="3"/>
      <c r="M67" s="2">
        <f>ROUND(M32+M61+M66,5)</f>
        <v>834059.88</v>
      </c>
    </row>
    <row r="68" spans="1:13" x14ac:dyDescent="0.2">
      <c r="A68" s="1"/>
      <c r="B68" s="1" t="s">
        <v>68</v>
      </c>
      <c r="C68" s="1"/>
      <c r="D68" s="1"/>
      <c r="E68" s="1"/>
      <c r="F68" s="1"/>
      <c r="G68" s="2"/>
      <c r="H68" s="3"/>
      <c r="I68" s="2"/>
      <c r="J68" s="3"/>
      <c r="K68" s="2"/>
      <c r="L68" s="3"/>
      <c r="M68" s="2"/>
    </row>
    <row r="69" spans="1:13" x14ac:dyDescent="0.2">
      <c r="A69" s="1"/>
      <c r="B69" s="1"/>
      <c r="C69" s="1" t="s">
        <v>69</v>
      </c>
      <c r="D69" s="1"/>
      <c r="E69" s="1"/>
      <c r="F69" s="1"/>
      <c r="G69" s="2">
        <v>602.45000000000005</v>
      </c>
      <c r="H69" s="3"/>
      <c r="I69" s="2">
        <v>602.45000000000005</v>
      </c>
      <c r="J69" s="3"/>
      <c r="K69" s="2">
        <v>602.45000000000005</v>
      </c>
      <c r="L69" s="3"/>
      <c r="M69" s="2">
        <v>753.69</v>
      </c>
    </row>
    <row r="70" spans="1:13" x14ac:dyDescent="0.2">
      <c r="A70" s="1"/>
      <c r="B70" s="1"/>
      <c r="C70" s="1" t="s">
        <v>70</v>
      </c>
      <c r="D70" s="1"/>
      <c r="E70" s="1"/>
      <c r="F70" s="1"/>
      <c r="G70" s="2">
        <v>0</v>
      </c>
      <c r="H70" s="3"/>
      <c r="I70" s="2">
        <v>0</v>
      </c>
      <c r="J70" s="3"/>
      <c r="K70" s="2">
        <v>0</v>
      </c>
      <c r="L70" s="3"/>
      <c r="M70" s="2">
        <v>50447.360000000001</v>
      </c>
    </row>
    <row r="71" spans="1:13" x14ac:dyDescent="0.2">
      <c r="A71" s="1"/>
      <c r="B71" s="1"/>
      <c r="C71" s="1" t="s">
        <v>71</v>
      </c>
      <c r="D71" s="1"/>
      <c r="E71" s="1"/>
      <c r="F71" s="1"/>
      <c r="G71" s="2">
        <v>17893.02</v>
      </c>
      <c r="H71" s="3"/>
      <c r="I71" s="2">
        <v>18023.34</v>
      </c>
      <c r="J71" s="3"/>
      <c r="K71" s="2">
        <v>18153.66</v>
      </c>
      <c r="L71" s="3"/>
      <c r="M71" s="2">
        <v>9422.7000000000007</v>
      </c>
    </row>
    <row r="72" spans="1:13" x14ac:dyDescent="0.2">
      <c r="A72" s="1"/>
      <c r="B72" s="1"/>
      <c r="C72" s="1" t="s">
        <v>72</v>
      </c>
      <c r="D72" s="1"/>
      <c r="E72" s="1"/>
      <c r="F72" s="1"/>
      <c r="G72" s="2">
        <v>0</v>
      </c>
      <c r="H72" s="3"/>
      <c r="I72" s="2">
        <v>49827.75</v>
      </c>
      <c r="J72" s="3"/>
      <c r="K72" s="2">
        <v>49827.75</v>
      </c>
      <c r="L72" s="3"/>
      <c r="M72" s="2">
        <v>49827.75</v>
      </c>
    </row>
    <row r="73" spans="1:13" x14ac:dyDescent="0.2">
      <c r="A73" s="1"/>
      <c r="B73" s="1"/>
      <c r="C73" s="1" t="s">
        <v>73</v>
      </c>
      <c r="D73" s="1"/>
      <c r="E73" s="1"/>
      <c r="F73" s="1"/>
      <c r="G73" s="2">
        <v>1275602.44</v>
      </c>
      <c r="H73" s="3"/>
      <c r="I73" s="2">
        <v>1275602.44</v>
      </c>
      <c r="J73" s="3"/>
      <c r="K73" s="2">
        <v>1275602.44</v>
      </c>
      <c r="L73" s="3"/>
      <c r="M73" s="2">
        <v>1275602.44</v>
      </c>
    </row>
    <row r="74" spans="1:13" ht="16" thickBot="1" x14ac:dyDescent="0.25">
      <c r="A74" s="1"/>
      <c r="B74" s="1"/>
      <c r="C74" s="1" t="s">
        <v>74</v>
      </c>
      <c r="D74" s="1"/>
      <c r="E74" s="1"/>
      <c r="F74" s="1"/>
      <c r="G74" s="2">
        <v>7646.98</v>
      </c>
      <c r="H74" s="3"/>
      <c r="I74" s="2">
        <v>-197629.62</v>
      </c>
      <c r="J74" s="3"/>
      <c r="K74" s="2">
        <v>-448916.6</v>
      </c>
      <c r="L74" s="3"/>
      <c r="M74" s="2">
        <v>-860866.22</v>
      </c>
    </row>
    <row r="75" spans="1:13" ht="16" thickBot="1" x14ac:dyDescent="0.25">
      <c r="A75" s="1"/>
      <c r="B75" s="1" t="s">
        <v>75</v>
      </c>
      <c r="C75" s="1"/>
      <c r="D75" s="1"/>
      <c r="E75" s="1"/>
      <c r="F75" s="1"/>
      <c r="G75" s="6">
        <f>ROUND(SUM(G68:G74),5)</f>
        <v>1301744.8899999999</v>
      </c>
      <c r="H75" s="3"/>
      <c r="I75" s="6">
        <f>ROUND(SUM(I68:I74),5)</f>
        <v>1146426.3600000001</v>
      </c>
      <c r="J75" s="3"/>
      <c r="K75" s="6">
        <f>ROUND(SUM(K68:K74),5)</f>
        <v>895269.7</v>
      </c>
      <c r="L75" s="3"/>
      <c r="M75" s="6">
        <f>ROUND(SUM(M68:M74),5)</f>
        <v>525187.72</v>
      </c>
    </row>
    <row r="76" spans="1:13" s="8" customFormat="1" ht="12" thickBot="1" x14ac:dyDescent="0.2">
      <c r="A76" s="1" t="s">
        <v>76</v>
      </c>
      <c r="B76" s="1"/>
      <c r="C76" s="1"/>
      <c r="D76" s="1"/>
      <c r="E76" s="1"/>
      <c r="F76" s="1"/>
      <c r="G76" s="7">
        <f>ROUND(G31+G67+G75,5)</f>
        <v>1705929.62</v>
      </c>
      <c r="H76" s="1"/>
      <c r="I76" s="7">
        <f>ROUND(I31+I67+I75,5)</f>
        <v>1509772.55</v>
      </c>
      <c r="J76" s="1"/>
      <c r="K76" s="7">
        <f>ROUND(K31+K67+K75,5)</f>
        <v>1359865.46</v>
      </c>
      <c r="L76" s="1"/>
      <c r="M76" s="7">
        <f>ROUND(M31+M67+M75,5)</f>
        <v>1359247.6</v>
      </c>
    </row>
    <row r="77" spans="1:13" ht="16" thickTop="1" x14ac:dyDescent="0.2"/>
  </sheetData>
  <pageMargins left="0.7" right="0.7" top="0.75" bottom="0.75" header="0.1" footer="0.3"/>
  <pageSetup orientation="portrait" r:id="rId1"/>
  <headerFooter>
    <oddHeader>&amp;L&amp;"Arial,Bold"&amp;8 8:10 PM
&amp;"Arial,Bold"&amp;8 02/10/26
&amp;"Arial,Bold"&amp;8 Cash Basis&amp;C&amp;"Arial,Bold"&amp;12 Summit Technology Laboratory
&amp;"Arial,Bold"&amp;14 Balance Sheet
&amp;"Arial,Bold"&amp;10 As of December 31, 2025</oddHeader>
    <oddFooter>&amp;R&amp;"Arial,Bold"&amp;8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ED63-24C3-D14F-800D-E9BE3147DA02}">
  <dimension ref="A1:F34"/>
  <sheetViews>
    <sheetView zoomScale="160" zoomScaleNormal="160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 activeCell="E21" sqref="E21"/>
    </sheetView>
  </sheetViews>
  <sheetFormatPr baseColWidth="10" defaultColWidth="8.83203125" defaultRowHeight="15" x14ac:dyDescent="0.2"/>
  <cols>
    <col min="1" max="4" width="3" style="18" customWidth="1"/>
    <col min="5" max="5" width="58.6640625" style="18" customWidth="1"/>
    <col min="6" max="6" width="10.1640625" bestFit="1" customWidth="1"/>
  </cols>
  <sheetData>
    <row r="1" spans="1:6" s="12" customFormat="1" ht="16" thickBot="1" x14ac:dyDescent="0.25">
      <c r="A1" s="19"/>
      <c r="B1" s="19"/>
      <c r="C1" s="19"/>
      <c r="D1" s="19"/>
      <c r="E1" s="19"/>
      <c r="F1" s="20" t="s">
        <v>171</v>
      </c>
    </row>
    <row r="2" spans="1:6" ht="16" thickTop="1" x14ac:dyDescent="0.2">
      <c r="A2" s="13"/>
      <c r="B2" s="13"/>
      <c r="C2" s="13" t="s">
        <v>155</v>
      </c>
      <c r="D2" s="13"/>
      <c r="E2" s="13"/>
      <c r="F2" s="14"/>
    </row>
    <row r="3" spans="1:6" x14ac:dyDescent="0.2">
      <c r="A3" s="13"/>
      <c r="B3" s="13"/>
      <c r="C3" s="13"/>
      <c r="D3" s="13" t="s">
        <v>74</v>
      </c>
      <c r="E3" s="13"/>
      <c r="F3" s="14">
        <v>-860866.22</v>
      </c>
    </row>
    <row r="4" spans="1:6" x14ac:dyDescent="0.2">
      <c r="A4" s="13"/>
      <c r="B4" s="13"/>
      <c r="C4" s="13"/>
      <c r="D4" s="13" t="s">
        <v>156</v>
      </c>
      <c r="E4" s="13"/>
      <c r="F4" s="14"/>
    </row>
    <row r="5" spans="1:6" x14ac:dyDescent="0.2">
      <c r="A5" s="13"/>
      <c r="B5" s="13"/>
      <c r="C5" s="13"/>
      <c r="D5" s="13" t="s">
        <v>157</v>
      </c>
      <c r="E5" s="13"/>
      <c r="F5" s="14"/>
    </row>
    <row r="6" spans="1:6" x14ac:dyDescent="0.2">
      <c r="A6" s="13"/>
      <c r="B6" s="13"/>
      <c r="C6" s="13"/>
      <c r="D6" s="13"/>
      <c r="E6" s="13" t="s">
        <v>13</v>
      </c>
      <c r="F6" s="14">
        <v>27.88</v>
      </c>
    </row>
    <row r="7" spans="1:6" x14ac:dyDescent="0.2">
      <c r="A7" s="13"/>
      <c r="B7" s="13"/>
      <c r="C7" s="13"/>
      <c r="D7" s="13"/>
      <c r="E7" s="13" t="s">
        <v>14</v>
      </c>
      <c r="F7" s="14">
        <v>24.68</v>
      </c>
    </row>
    <row r="8" spans="1:6" x14ac:dyDescent="0.2">
      <c r="A8" s="13"/>
      <c r="B8" s="13"/>
      <c r="C8" s="13"/>
      <c r="D8" s="13"/>
      <c r="E8" s="13" t="s">
        <v>16</v>
      </c>
      <c r="F8" s="14">
        <v>-4448</v>
      </c>
    </row>
    <row r="9" spans="1:6" x14ac:dyDescent="0.2">
      <c r="A9" s="13"/>
      <c r="B9" s="13"/>
      <c r="C9" s="13"/>
      <c r="D9" s="13"/>
      <c r="E9" s="13" t="s">
        <v>15</v>
      </c>
      <c r="F9" s="14">
        <v>1426</v>
      </c>
    </row>
    <row r="10" spans="1:6" x14ac:dyDescent="0.2">
      <c r="A10" s="13"/>
      <c r="B10" s="13"/>
      <c r="C10" s="13"/>
      <c r="D10" s="13"/>
      <c r="E10" s="13" t="s">
        <v>40</v>
      </c>
      <c r="F10" s="14">
        <v>-22043.59</v>
      </c>
    </row>
    <row r="11" spans="1:6" x14ac:dyDescent="0.2">
      <c r="A11" s="13"/>
      <c r="B11" s="13"/>
      <c r="C11" s="13"/>
      <c r="D11" s="13"/>
      <c r="E11" s="13" t="s">
        <v>158</v>
      </c>
      <c r="F11" s="14">
        <v>6940.93</v>
      </c>
    </row>
    <row r="12" spans="1:6" x14ac:dyDescent="0.2">
      <c r="A12" s="13"/>
      <c r="B12" s="13"/>
      <c r="C12" s="13"/>
      <c r="D12" s="13"/>
      <c r="E12" s="13" t="s">
        <v>159</v>
      </c>
      <c r="F12" s="14">
        <v>2049.21</v>
      </c>
    </row>
    <row r="13" spans="1:6" x14ac:dyDescent="0.2">
      <c r="A13" s="13"/>
      <c r="B13" s="13"/>
      <c r="C13" s="13"/>
      <c r="D13" s="13"/>
      <c r="E13" s="13" t="s">
        <v>160</v>
      </c>
      <c r="F13" s="14">
        <v>10941.39</v>
      </c>
    </row>
    <row r="14" spans="1:6" x14ac:dyDescent="0.2">
      <c r="A14" s="13"/>
      <c r="B14" s="13"/>
      <c r="C14" s="13"/>
      <c r="D14" s="13"/>
      <c r="E14" s="13" t="s">
        <v>161</v>
      </c>
      <c r="F14" s="14">
        <v>3537.3</v>
      </c>
    </row>
    <row r="15" spans="1:6" x14ac:dyDescent="0.2">
      <c r="A15" s="13"/>
      <c r="B15" s="13"/>
      <c r="C15" s="13"/>
      <c r="D15" s="13"/>
      <c r="E15" s="13" t="s">
        <v>56</v>
      </c>
      <c r="F15" s="14">
        <v>-45379.75</v>
      </c>
    </row>
    <row r="16" spans="1:6" x14ac:dyDescent="0.2">
      <c r="A16" s="13"/>
      <c r="B16" s="13"/>
      <c r="C16" s="13"/>
      <c r="D16" s="13"/>
      <c r="E16" s="13" t="s">
        <v>59</v>
      </c>
      <c r="F16" s="14">
        <v>96785.15</v>
      </c>
    </row>
    <row r="17" spans="1:6" ht="16" thickBot="1" x14ac:dyDescent="0.25">
      <c r="A17" s="13"/>
      <c r="B17" s="13"/>
      <c r="C17" s="13"/>
      <c r="D17" s="13"/>
      <c r="E17" s="13" t="s">
        <v>57</v>
      </c>
      <c r="F17" s="15">
        <v>22360</v>
      </c>
    </row>
    <row r="18" spans="1:6" x14ac:dyDescent="0.2">
      <c r="A18" s="13"/>
      <c r="B18" s="13"/>
      <c r="C18" s="13" t="s">
        <v>162</v>
      </c>
      <c r="D18" s="13"/>
      <c r="E18" s="13"/>
      <c r="F18" s="14">
        <f>ROUND(SUM(F2:F3)+SUM(F6:F17),5)</f>
        <v>-788645.02</v>
      </c>
    </row>
    <row r="19" spans="1:6" x14ac:dyDescent="0.2">
      <c r="A19" s="13"/>
      <c r="B19" s="13"/>
      <c r="C19" s="13" t="s">
        <v>163</v>
      </c>
      <c r="D19" s="13"/>
      <c r="E19" s="13"/>
      <c r="F19" s="14"/>
    </row>
    <row r="20" spans="1:6" ht="16" thickBot="1" x14ac:dyDescent="0.25">
      <c r="A20" s="13"/>
      <c r="B20" s="13"/>
      <c r="C20" s="13"/>
      <c r="D20" s="13" t="s">
        <v>164</v>
      </c>
      <c r="E20" s="13"/>
      <c r="F20" s="15">
        <v>441075.48</v>
      </c>
    </row>
    <row r="21" spans="1:6" x14ac:dyDescent="0.2">
      <c r="A21" s="13"/>
      <c r="B21" s="13"/>
      <c r="C21" s="13" t="s">
        <v>165</v>
      </c>
      <c r="D21" s="13"/>
      <c r="E21" s="13"/>
      <c r="F21" s="14">
        <f>ROUND(SUM(F19:F20),5)</f>
        <v>441075.48</v>
      </c>
    </row>
    <row r="22" spans="1:6" x14ac:dyDescent="0.2">
      <c r="A22" s="13"/>
      <c r="B22" s="13"/>
      <c r="C22" s="13" t="s">
        <v>166</v>
      </c>
      <c r="D22" s="13"/>
      <c r="E22" s="13"/>
      <c r="F22" s="14"/>
    </row>
    <row r="23" spans="1:6" x14ac:dyDescent="0.2">
      <c r="A23" s="13"/>
      <c r="B23" s="13"/>
      <c r="C23" s="13"/>
      <c r="D23" s="13" t="s">
        <v>55</v>
      </c>
      <c r="E23" s="13"/>
      <c r="F23" s="14">
        <v>-50636.75</v>
      </c>
    </row>
    <row r="24" spans="1:6" x14ac:dyDescent="0.2">
      <c r="A24" s="13"/>
      <c r="B24" s="13"/>
      <c r="C24" s="13"/>
      <c r="D24" s="13" t="s">
        <v>64</v>
      </c>
      <c r="E24" s="13"/>
      <c r="F24" s="14">
        <v>65701.81</v>
      </c>
    </row>
    <row r="25" spans="1:6" x14ac:dyDescent="0.2">
      <c r="A25" s="13"/>
      <c r="B25" s="13"/>
      <c r="C25" s="13"/>
      <c r="D25" s="13" t="s">
        <v>63</v>
      </c>
      <c r="E25" s="13"/>
      <c r="F25" s="14">
        <v>345000</v>
      </c>
    </row>
    <row r="26" spans="1:6" x14ac:dyDescent="0.2">
      <c r="A26" s="13"/>
      <c r="B26" s="13"/>
      <c r="C26" s="13"/>
      <c r="D26" s="13" t="s">
        <v>71</v>
      </c>
      <c r="E26" s="13"/>
      <c r="F26" s="14">
        <v>-8340</v>
      </c>
    </row>
    <row r="27" spans="1:6" x14ac:dyDescent="0.2">
      <c r="A27" s="13"/>
      <c r="B27" s="13"/>
      <c r="C27" s="13"/>
      <c r="D27" s="13" t="s">
        <v>69</v>
      </c>
      <c r="E27" s="13"/>
      <c r="F27" s="14">
        <v>151.24</v>
      </c>
    </row>
    <row r="28" spans="1:6" x14ac:dyDescent="0.2">
      <c r="A28" s="13"/>
      <c r="B28" s="13"/>
      <c r="C28" s="13"/>
      <c r="D28" s="13" t="s">
        <v>70</v>
      </c>
      <c r="E28" s="13"/>
      <c r="F28" s="14">
        <v>50447.360000000001</v>
      </c>
    </row>
    <row r="29" spans="1:6" ht="16" thickBot="1" x14ac:dyDescent="0.25">
      <c r="A29" s="13"/>
      <c r="B29" s="13"/>
      <c r="C29" s="13"/>
      <c r="D29" s="13" t="s">
        <v>72</v>
      </c>
      <c r="E29" s="13"/>
      <c r="F29" s="14">
        <v>49827.75</v>
      </c>
    </row>
    <row r="30" spans="1:6" ht="16" thickBot="1" x14ac:dyDescent="0.25">
      <c r="A30" s="13"/>
      <c r="B30" s="13"/>
      <c r="C30" s="13" t="s">
        <v>167</v>
      </c>
      <c r="D30" s="13"/>
      <c r="E30" s="13"/>
      <c r="F30" s="16">
        <f>ROUND(SUM(F22:F29),5)</f>
        <v>452151.41</v>
      </c>
    </row>
    <row r="31" spans="1:6" x14ac:dyDescent="0.2">
      <c r="A31" s="13"/>
      <c r="B31" s="13" t="s">
        <v>168</v>
      </c>
      <c r="C31" s="13"/>
      <c r="D31" s="13"/>
      <c r="E31" s="13"/>
      <c r="F31" s="14">
        <f>ROUND(F18+F21+F30,5)</f>
        <v>104581.87</v>
      </c>
    </row>
    <row r="32" spans="1:6" ht="16" thickBot="1" x14ac:dyDescent="0.25">
      <c r="A32" s="13"/>
      <c r="B32" s="13" t="s">
        <v>169</v>
      </c>
      <c r="C32" s="13"/>
      <c r="D32" s="13"/>
      <c r="E32" s="13"/>
      <c r="F32" s="14">
        <v>90506.67</v>
      </c>
    </row>
    <row r="33" spans="1:6" s="18" customFormat="1" ht="12" thickBot="1" x14ac:dyDescent="0.2">
      <c r="A33" s="13" t="s">
        <v>170</v>
      </c>
      <c r="B33" s="13"/>
      <c r="C33" s="13"/>
      <c r="D33" s="13"/>
      <c r="E33" s="13"/>
      <c r="F33" s="17">
        <f>ROUND(SUM(F31:F32),5)</f>
        <v>195088.54</v>
      </c>
    </row>
    <row r="34" spans="1:6" ht="16" thickTop="1" x14ac:dyDescent="0.2"/>
  </sheetData>
  <pageMargins left="0.7" right="0.7" top="0.75" bottom="0.75" header="0.1" footer="0.3"/>
  <pageSetup orientation="portrait" r:id="rId1"/>
  <headerFooter>
    <oddHeader>&amp;L&amp;"Arial,Bold"&amp;8 8:25 PM
&amp;"Arial,Bold"&amp;8 02/10/26
&amp;"Arial,Bold"&amp;8 &amp;C&amp;"Arial,Bold"&amp;12 Summit Technology Laboratory
&amp;"Arial,Bold"&amp;14 Statement of Cash Flows
&amp;"Arial,Bold"&amp;10 January through December 2025</oddHeader>
    <oddFooter>&amp;R&amp;"Arial,Bold"&amp;8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D2F2-7AD0-4D27-8515-075E8F595EFB}">
  <dimension ref="A1:F24"/>
  <sheetViews>
    <sheetView workbookViewId="0">
      <pane xSplit="5" ySplit="1" topLeftCell="F2" activePane="bottomRight" state="frozenSplit"/>
      <selection activeCell="F3" sqref="F3"/>
      <selection pane="topRight" activeCell="F3" sqref="F3"/>
      <selection pane="bottomLeft" activeCell="F3" sqref="F3"/>
      <selection pane="bottomRight" activeCell="F3" sqref="F3"/>
    </sheetView>
  </sheetViews>
  <sheetFormatPr baseColWidth="10" defaultColWidth="8.83203125" defaultRowHeight="15" x14ac:dyDescent="0.2"/>
  <cols>
    <col min="1" max="4" width="3" style="18" customWidth="1"/>
    <col min="5" max="5" width="58.6640625" style="18" customWidth="1"/>
    <col min="6" max="6" width="10.33203125" bestFit="1" customWidth="1"/>
  </cols>
  <sheetData>
    <row r="1" spans="1:6" s="12" customFormat="1" ht="16" thickBot="1" x14ac:dyDescent="0.25">
      <c r="A1" s="19"/>
      <c r="B1" s="19"/>
      <c r="C1" s="19"/>
      <c r="D1" s="19"/>
      <c r="E1" s="19"/>
      <c r="F1" s="20" t="s">
        <v>77</v>
      </c>
    </row>
    <row r="2" spans="1:6" ht="16" thickTop="1" x14ac:dyDescent="0.2">
      <c r="A2" s="13"/>
      <c r="B2" s="13"/>
      <c r="C2" s="13" t="s">
        <v>155</v>
      </c>
      <c r="D2" s="13"/>
      <c r="E2" s="13"/>
      <c r="F2" s="14"/>
    </row>
    <row r="3" spans="1:6" x14ac:dyDescent="0.2">
      <c r="A3" s="13"/>
      <c r="B3" s="13"/>
      <c r="C3" s="13"/>
      <c r="D3" s="13" t="s">
        <v>74</v>
      </c>
      <c r="E3" s="13"/>
      <c r="F3" s="14">
        <v>7646.98</v>
      </c>
    </row>
    <row r="4" spans="1:6" x14ac:dyDescent="0.2">
      <c r="A4" s="13"/>
      <c r="B4" s="13"/>
      <c r="C4" s="13"/>
      <c r="D4" s="13" t="s">
        <v>156</v>
      </c>
      <c r="E4" s="13"/>
      <c r="F4" s="14"/>
    </row>
    <row r="5" spans="1:6" x14ac:dyDescent="0.2">
      <c r="A5" s="13"/>
      <c r="B5" s="13"/>
      <c r="C5" s="13"/>
      <c r="D5" s="13" t="s">
        <v>157</v>
      </c>
      <c r="E5" s="13"/>
      <c r="F5" s="14"/>
    </row>
    <row r="6" spans="1:6" x14ac:dyDescent="0.2">
      <c r="A6" s="13"/>
      <c r="B6" s="13"/>
      <c r="C6" s="13"/>
      <c r="D6" s="13"/>
      <c r="E6" s="13" t="s">
        <v>37</v>
      </c>
      <c r="F6" s="14">
        <v>-450</v>
      </c>
    </row>
    <row r="7" spans="1:6" x14ac:dyDescent="0.2">
      <c r="A7" s="13"/>
      <c r="B7" s="13"/>
      <c r="C7" s="13"/>
      <c r="D7" s="13"/>
      <c r="E7" s="13" t="s">
        <v>40</v>
      </c>
      <c r="F7" s="14">
        <v>-3624.73</v>
      </c>
    </row>
    <row r="8" spans="1:6" x14ac:dyDescent="0.2">
      <c r="A8" s="13"/>
      <c r="B8" s="13"/>
      <c r="C8" s="13"/>
      <c r="D8" s="13"/>
      <c r="E8" s="13" t="s">
        <v>158</v>
      </c>
      <c r="F8" s="14">
        <v>263.51</v>
      </c>
    </row>
    <row r="9" spans="1:6" x14ac:dyDescent="0.2">
      <c r="A9" s="13"/>
      <c r="B9" s="13"/>
      <c r="C9" s="13"/>
      <c r="D9" s="13"/>
      <c r="E9" s="13" t="s">
        <v>159</v>
      </c>
      <c r="F9" s="14">
        <v>215</v>
      </c>
    </row>
    <row r="10" spans="1:6" x14ac:dyDescent="0.2">
      <c r="A10" s="13"/>
      <c r="B10" s="13"/>
      <c r="C10" s="13"/>
      <c r="D10" s="13"/>
      <c r="E10" s="13" t="s">
        <v>160</v>
      </c>
      <c r="F10" s="14">
        <v>4576.07</v>
      </c>
    </row>
    <row r="11" spans="1:6" x14ac:dyDescent="0.2">
      <c r="A11" s="13"/>
      <c r="B11" s="13"/>
      <c r="C11" s="13"/>
      <c r="D11" s="13"/>
      <c r="E11" s="13" t="s">
        <v>161</v>
      </c>
      <c r="F11" s="14">
        <v>456.87</v>
      </c>
    </row>
    <row r="12" spans="1:6" ht="16" thickBot="1" x14ac:dyDescent="0.25">
      <c r="A12" s="13"/>
      <c r="B12" s="13"/>
      <c r="C12" s="13"/>
      <c r="D12" s="13"/>
      <c r="E12" s="13" t="s">
        <v>58</v>
      </c>
      <c r="F12" s="15">
        <v>800</v>
      </c>
    </row>
    <row r="13" spans="1:6" x14ac:dyDescent="0.2">
      <c r="A13" s="13"/>
      <c r="B13" s="13"/>
      <c r="C13" s="13" t="s">
        <v>162</v>
      </c>
      <c r="D13" s="13"/>
      <c r="E13" s="13"/>
      <c r="F13" s="14">
        <f>ROUND(SUM(F2:F3)+SUM(F6:F12),5)</f>
        <v>9883.7000000000007</v>
      </c>
    </row>
    <row r="14" spans="1:6" x14ac:dyDescent="0.2">
      <c r="A14" s="13"/>
      <c r="B14" s="13"/>
      <c r="C14" s="13" t="s">
        <v>163</v>
      </c>
      <c r="D14" s="13"/>
      <c r="E14" s="13"/>
      <c r="F14" s="14"/>
    </row>
    <row r="15" spans="1:6" ht="16" thickBot="1" x14ac:dyDescent="0.25">
      <c r="A15" s="13"/>
      <c r="B15" s="13"/>
      <c r="C15" s="13"/>
      <c r="D15" s="13" t="s">
        <v>164</v>
      </c>
      <c r="E15" s="13"/>
      <c r="F15" s="15">
        <v>110268.87</v>
      </c>
    </row>
    <row r="16" spans="1:6" x14ac:dyDescent="0.2">
      <c r="A16" s="13"/>
      <c r="B16" s="13"/>
      <c r="C16" s="13" t="s">
        <v>165</v>
      </c>
      <c r="D16" s="13"/>
      <c r="E16" s="13"/>
      <c r="F16" s="14">
        <f>ROUND(SUM(F14:F15),5)</f>
        <v>110268.87</v>
      </c>
    </row>
    <row r="17" spans="1:6" x14ac:dyDescent="0.2">
      <c r="A17" s="13"/>
      <c r="B17" s="13"/>
      <c r="C17" s="13" t="s">
        <v>166</v>
      </c>
      <c r="D17" s="13"/>
      <c r="E17" s="13"/>
      <c r="F17" s="14"/>
    </row>
    <row r="18" spans="1:6" x14ac:dyDescent="0.2">
      <c r="A18" s="13"/>
      <c r="B18" s="13"/>
      <c r="C18" s="13"/>
      <c r="D18" s="13" t="s">
        <v>55</v>
      </c>
      <c r="E18" s="13"/>
      <c r="F18" s="14">
        <v>3143.83</v>
      </c>
    </row>
    <row r="19" spans="1:6" ht="16" thickBot="1" x14ac:dyDescent="0.25">
      <c r="A19" s="13"/>
      <c r="B19" s="13"/>
      <c r="C19" s="13"/>
      <c r="D19" s="13" t="s">
        <v>71</v>
      </c>
      <c r="E19" s="13"/>
      <c r="F19" s="14">
        <v>130.32</v>
      </c>
    </row>
    <row r="20" spans="1:6" ht="16" thickBot="1" x14ac:dyDescent="0.25">
      <c r="A20" s="13"/>
      <c r="B20" s="13"/>
      <c r="C20" s="13" t="s">
        <v>167</v>
      </c>
      <c r="D20" s="13"/>
      <c r="E20" s="13"/>
      <c r="F20" s="16">
        <f>ROUND(SUM(F17:F19),5)</f>
        <v>3274.15</v>
      </c>
    </row>
    <row r="21" spans="1:6" x14ac:dyDescent="0.2">
      <c r="A21" s="13"/>
      <c r="B21" s="13" t="s">
        <v>168</v>
      </c>
      <c r="C21" s="13"/>
      <c r="D21" s="13"/>
      <c r="E21" s="13"/>
      <c r="F21" s="14">
        <f>ROUND(F13+F16+F20,5)</f>
        <v>123426.72</v>
      </c>
    </row>
    <row r="22" spans="1:6" ht="16" thickBot="1" x14ac:dyDescent="0.25">
      <c r="A22" s="13"/>
      <c r="B22" s="13" t="s">
        <v>169</v>
      </c>
      <c r="C22" s="13"/>
      <c r="D22" s="13"/>
      <c r="E22" s="13"/>
      <c r="F22" s="14">
        <v>90506.67</v>
      </c>
    </row>
    <row r="23" spans="1:6" s="18" customFormat="1" ht="12" thickBot="1" x14ac:dyDescent="0.2">
      <c r="A23" s="13" t="s">
        <v>170</v>
      </c>
      <c r="B23" s="13"/>
      <c r="C23" s="13"/>
      <c r="D23" s="13"/>
      <c r="E23" s="13"/>
      <c r="F23" s="17">
        <f>ROUND(SUM(F21:F22),5)</f>
        <v>213933.39</v>
      </c>
    </row>
    <row r="24" spans="1:6" ht="16" thickTop="1" x14ac:dyDescent="0.2"/>
  </sheetData>
  <pageMargins left="0.7" right="0.7" top="0.75" bottom="0.75" header="0.1" footer="0.3"/>
  <pageSetup orientation="portrait" r:id="rId1"/>
  <headerFooter>
    <oddHeader>&amp;L&amp;"Arial,Bold"&amp;8 9:56 AM
&amp;"Arial,Bold"&amp;8 02/11/26
&amp;"Arial,Bold"&amp;8 &amp;C&amp;"Arial,Bold"&amp;12 Summit Technology Laboratory
&amp;"Arial,Bold"&amp;14 Statement of Cash Flows
&amp;"Arial,Bold"&amp;10 January through March 2025</oddHeader>
    <oddFooter>&amp;R&amp;"Arial,Bold"&amp;8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3E55-D50D-411A-AC7E-1F337BD36801}">
  <dimension ref="A1:F31"/>
  <sheetViews>
    <sheetView workbookViewId="0">
      <pane xSplit="5" ySplit="1" topLeftCell="F2" activePane="bottomRight" state="frozenSplit"/>
      <selection activeCell="F3" sqref="F3"/>
      <selection pane="topRight" activeCell="F3" sqref="F3"/>
      <selection pane="bottomLeft" activeCell="F3" sqref="F3"/>
      <selection pane="bottomRight" activeCell="F3" sqref="F3"/>
    </sheetView>
  </sheetViews>
  <sheetFormatPr baseColWidth="10" defaultColWidth="8.83203125" defaultRowHeight="15" x14ac:dyDescent="0.2"/>
  <cols>
    <col min="1" max="4" width="3" style="18" customWidth="1"/>
    <col min="5" max="5" width="58.6640625" style="18" customWidth="1"/>
    <col min="6" max="6" width="10.33203125" bestFit="1" customWidth="1"/>
  </cols>
  <sheetData>
    <row r="1" spans="1:6" s="12" customFormat="1" ht="16" thickBot="1" x14ac:dyDescent="0.25">
      <c r="A1" s="19"/>
      <c r="B1" s="19"/>
      <c r="C1" s="19"/>
      <c r="D1" s="19"/>
      <c r="E1" s="19"/>
      <c r="F1" s="20" t="s">
        <v>78</v>
      </c>
    </row>
    <row r="2" spans="1:6" ht="16" thickTop="1" x14ac:dyDescent="0.2">
      <c r="A2" s="13"/>
      <c r="B2" s="13"/>
      <c r="C2" s="13" t="s">
        <v>155</v>
      </c>
      <c r="D2" s="13"/>
      <c r="E2" s="13"/>
      <c r="F2" s="14"/>
    </row>
    <row r="3" spans="1:6" x14ac:dyDescent="0.2">
      <c r="A3" s="13"/>
      <c r="B3" s="13"/>
      <c r="C3" s="13"/>
      <c r="D3" s="13" t="s">
        <v>74</v>
      </c>
      <c r="E3" s="13"/>
      <c r="F3" s="14">
        <v>-205276.6</v>
      </c>
    </row>
    <row r="4" spans="1:6" x14ac:dyDescent="0.2">
      <c r="A4" s="13"/>
      <c r="B4" s="13"/>
      <c r="C4" s="13"/>
      <c r="D4" s="13" t="s">
        <v>156</v>
      </c>
      <c r="E4" s="13"/>
      <c r="F4" s="14"/>
    </row>
    <row r="5" spans="1:6" x14ac:dyDescent="0.2">
      <c r="A5" s="13"/>
      <c r="B5" s="13"/>
      <c r="C5" s="13"/>
      <c r="D5" s="13" t="s">
        <v>157</v>
      </c>
      <c r="E5" s="13"/>
      <c r="F5" s="14"/>
    </row>
    <row r="6" spans="1:6" x14ac:dyDescent="0.2">
      <c r="A6" s="13"/>
      <c r="B6" s="13"/>
      <c r="C6" s="13"/>
      <c r="D6" s="13"/>
      <c r="E6" s="13" t="s">
        <v>13</v>
      </c>
      <c r="F6" s="14">
        <v>27.88</v>
      </c>
    </row>
    <row r="7" spans="1:6" x14ac:dyDescent="0.2">
      <c r="A7" s="13"/>
      <c r="B7" s="13"/>
      <c r="C7" s="13"/>
      <c r="D7" s="13"/>
      <c r="E7" s="13" t="s">
        <v>14</v>
      </c>
      <c r="F7" s="14">
        <v>24.68</v>
      </c>
    </row>
    <row r="8" spans="1:6" x14ac:dyDescent="0.2">
      <c r="A8" s="13"/>
      <c r="B8" s="13"/>
      <c r="C8" s="13"/>
      <c r="D8" s="13"/>
      <c r="E8" s="13" t="s">
        <v>16</v>
      </c>
      <c r="F8" s="14">
        <v>-4448</v>
      </c>
    </row>
    <row r="9" spans="1:6" x14ac:dyDescent="0.2">
      <c r="A9" s="13"/>
      <c r="B9" s="13"/>
      <c r="C9" s="13"/>
      <c r="D9" s="13"/>
      <c r="E9" s="13" t="s">
        <v>15</v>
      </c>
      <c r="F9" s="14">
        <v>1426</v>
      </c>
    </row>
    <row r="10" spans="1:6" x14ac:dyDescent="0.2">
      <c r="A10" s="13"/>
      <c r="B10" s="13"/>
      <c r="C10" s="13"/>
      <c r="D10" s="13"/>
      <c r="E10" s="13" t="s">
        <v>37</v>
      </c>
      <c r="F10" s="14">
        <v>450</v>
      </c>
    </row>
    <row r="11" spans="1:6" x14ac:dyDescent="0.2">
      <c r="A11" s="13"/>
      <c r="B11" s="13"/>
      <c r="C11" s="13"/>
      <c r="D11" s="13"/>
      <c r="E11" s="13" t="s">
        <v>40</v>
      </c>
      <c r="F11" s="14">
        <v>-5462.27</v>
      </c>
    </row>
    <row r="12" spans="1:6" x14ac:dyDescent="0.2">
      <c r="A12" s="13"/>
      <c r="B12" s="13"/>
      <c r="C12" s="13"/>
      <c r="D12" s="13"/>
      <c r="E12" s="13" t="s">
        <v>158</v>
      </c>
      <c r="F12" s="14">
        <v>2891.58</v>
      </c>
    </row>
    <row r="13" spans="1:6" x14ac:dyDescent="0.2">
      <c r="A13" s="13"/>
      <c r="B13" s="13"/>
      <c r="C13" s="13"/>
      <c r="D13" s="13"/>
      <c r="E13" s="13" t="s">
        <v>159</v>
      </c>
      <c r="F13" s="14">
        <v>1624.72</v>
      </c>
    </row>
    <row r="14" spans="1:6" x14ac:dyDescent="0.2">
      <c r="A14" s="13"/>
      <c r="B14" s="13"/>
      <c r="C14" s="13"/>
      <c r="D14" s="13"/>
      <c r="E14" s="13" t="s">
        <v>160</v>
      </c>
      <c r="F14" s="14">
        <v>2335.6999999999998</v>
      </c>
    </row>
    <row r="15" spans="1:6" x14ac:dyDescent="0.2">
      <c r="A15" s="13"/>
      <c r="B15" s="13"/>
      <c r="C15" s="13"/>
      <c r="D15" s="13"/>
      <c r="E15" s="13" t="s">
        <v>161</v>
      </c>
      <c r="F15" s="14">
        <v>322.73</v>
      </c>
    </row>
    <row r="16" spans="1:6" x14ac:dyDescent="0.2">
      <c r="A16" s="13"/>
      <c r="B16" s="13"/>
      <c r="C16" s="13"/>
      <c r="D16" s="13"/>
      <c r="E16" s="13" t="s">
        <v>56</v>
      </c>
      <c r="F16" s="14">
        <v>-45379.75</v>
      </c>
    </row>
    <row r="17" spans="1:6" ht="16" thickBot="1" x14ac:dyDescent="0.25">
      <c r="A17" s="13"/>
      <c r="B17" s="13"/>
      <c r="C17" s="13"/>
      <c r="D17" s="13"/>
      <c r="E17" s="13" t="s">
        <v>58</v>
      </c>
      <c r="F17" s="15">
        <v>-800</v>
      </c>
    </row>
    <row r="18" spans="1:6" x14ac:dyDescent="0.2">
      <c r="A18" s="13"/>
      <c r="B18" s="13"/>
      <c r="C18" s="13" t="s">
        <v>162</v>
      </c>
      <c r="D18" s="13"/>
      <c r="E18" s="13"/>
      <c r="F18" s="14">
        <f>ROUND(SUM(F2:F3)+SUM(F6:F17),5)</f>
        <v>-252263.33</v>
      </c>
    </row>
    <row r="19" spans="1:6" x14ac:dyDescent="0.2">
      <c r="A19" s="13"/>
      <c r="B19" s="13"/>
      <c r="C19" s="13" t="s">
        <v>163</v>
      </c>
      <c r="D19" s="13"/>
      <c r="E19" s="13"/>
      <c r="F19" s="14"/>
    </row>
    <row r="20" spans="1:6" ht="16" thickBot="1" x14ac:dyDescent="0.25">
      <c r="A20" s="13"/>
      <c r="B20" s="13"/>
      <c r="C20" s="13"/>
      <c r="D20" s="13" t="s">
        <v>164</v>
      </c>
      <c r="E20" s="13"/>
      <c r="F20" s="15">
        <v>110268.87</v>
      </c>
    </row>
    <row r="21" spans="1:6" x14ac:dyDescent="0.2">
      <c r="A21" s="13"/>
      <c r="B21" s="13"/>
      <c r="C21" s="13" t="s">
        <v>165</v>
      </c>
      <c r="D21" s="13"/>
      <c r="E21" s="13"/>
      <c r="F21" s="14">
        <f>ROUND(SUM(F19:F20),5)</f>
        <v>110268.87</v>
      </c>
    </row>
    <row r="22" spans="1:6" x14ac:dyDescent="0.2">
      <c r="A22" s="13"/>
      <c r="B22" s="13"/>
      <c r="C22" s="13" t="s">
        <v>166</v>
      </c>
      <c r="D22" s="13"/>
      <c r="E22" s="13"/>
      <c r="F22" s="14"/>
    </row>
    <row r="23" spans="1:6" x14ac:dyDescent="0.2">
      <c r="A23" s="13"/>
      <c r="B23" s="13"/>
      <c r="C23" s="13"/>
      <c r="D23" s="13" t="s">
        <v>55</v>
      </c>
      <c r="E23" s="13"/>
      <c r="F23" s="14">
        <v>-62523.06</v>
      </c>
    </row>
    <row r="24" spans="1:6" x14ac:dyDescent="0.2">
      <c r="A24" s="13"/>
      <c r="B24" s="13"/>
      <c r="C24" s="13"/>
      <c r="D24" s="13" t="s">
        <v>64</v>
      </c>
      <c r="E24" s="13"/>
      <c r="F24" s="14">
        <v>65701.81</v>
      </c>
    </row>
    <row r="25" spans="1:6" x14ac:dyDescent="0.2">
      <c r="A25" s="13"/>
      <c r="B25" s="13"/>
      <c r="C25" s="13"/>
      <c r="D25" s="13" t="s">
        <v>71</v>
      </c>
      <c r="E25" s="13"/>
      <c r="F25" s="14">
        <v>130.32</v>
      </c>
    </row>
    <row r="26" spans="1:6" ht="16" thickBot="1" x14ac:dyDescent="0.25">
      <c r="A26" s="13"/>
      <c r="B26" s="13"/>
      <c r="C26" s="13"/>
      <c r="D26" s="13" t="s">
        <v>72</v>
      </c>
      <c r="E26" s="13"/>
      <c r="F26" s="14">
        <v>49827.75</v>
      </c>
    </row>
    <row r="27" spans="1:6" ht="16" thickBot="1" x14ac:dyDescent="0.25">
      <c r="A27" s="13"/>
      <c r="B27" s="13"/>
      <c r="C27" s="13" t="s">
        <v>167</v>
      </c>
      <c r="D27" s="13"/>
      <c r="E27" s="13"/>
      <c r="F27" s="16">
        <f>ROUND(SUM(F22:F26),5)</f>
        <v>53136.82</v>
      </c>
    </row>
    <row r="28" spans="1:6" x14ac:dyDescent="0.2">
      <c r="A28" s="13"/>
      <c r="B28" s="13" t="s">
        <v>168</v>
      </c>
      <c r="C28" s="13"/>
      <c r="D28" s="13"/>
      <c r="E28" s="13"/>
      <c r="F28" s="14">
        <f>ROUND(F18+F21+F27,5)</f>
        <v>-88857.64</v>
      </c>
    </row>
    <row r="29" spans="1:6" ht="16" thickBot="1" x14ac:dyDescent="0.25">
      <c r="A29" s="13"/>
      <c r="B29" s="13" t="s">
        <v>169</v>
      </c>
      <c r="C29" s="13"/>
      <c r="D29" s="13"/>
      <c r="E29" s="13"/>
      <c r="F29" s="14">
        <v>213933.39</v>
      </c>
    </row>
    <row r="30" spans="1:6" s="18" customFormat="1" ht="12" thickBot="1" x14ac:dyDescent="0.2">
      <c r="A30" s="13" t="s">
        <v>170</v>
      </c>
      <c r="B30" s="13"/>
      <c r="C30" s="13"/>
      <c r="D30" s="13"/>
      <c r="E30" s="13"/>
      <c r="F30" s="17">
        <f>ROUND(SUM(F28:F29),5)</f>
        <v>125075.75</v>
      </c>
    </row>
    <row r="31" spans="1:6" ht="16" thickTop="1" x14ac:dyDescent="0.2"/>
  </sheetData>
  <pageMargins left="0.7" right="0.7" top="0.75" bottom="0.75" header="0.1" footer="0.3"/>
  <pageSetup orientation="portrait" r:id="rId1"/>
  <headerFooter>
    <oddHeader>&amp;L&amp;"Arial,Bold"&amp;8 9:57 AM
&amp;"Arial,Bold"&amp;8 02/11/26
&amp;"Arial,Bold"&amp;8 &amp;C&amp;"Arial,Bold"&amp;12 Summit Technology Laboratory
&amp;"Arial,Bold"&amp;14 Statement of Cash Flows
&amp;"Arial,Bold"&amp;10 April through June 2025</oddHeader>
    <oddFooter>&amp;R&amp;"Arial,Bold"&amp;8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D07A-4469-4E00-A2E7-FD40DD12676C}">
  <dimension ref="A1:F23"/>
  <sheetViews>
    <sheetView workbookViewId="0">
      <pane xSplit="5" ySplit="1" topLeftCell="F2" activePane="bottomRight" state="frozenSplit"/>
      <selection activeCell="F3" sqref="F3"/>
      <selection pane="topRight" activeCell="F3" sqref="F3"/>
      <selection pane="bottomLeft" activeCell="F3" sqref="F3"/>
      <selection pane="bottomRight" activeCell="F3" sqref="F3"/>
    </sheetView>
  </sheetViews>
  <sheetFormatPr baseColWidth="10" defaultColWidth="8.83203125" defaultRowHeight="15" x14ac:dyDescent="0.2"/>
  <cols>
    <col min="1" max="4" width="3" style="18" customWidth="1"/>
    <col min="5" max="5" width="58.6640625" style="18" customWidth="1"/>
    <col min="6" max="6" width="9.83203125" bestFit="1" customWidth="1"/>
  </cols>
  <sheetData>
    <row r="1" spans="1:6" s="12" customFormat="1" ht="16" thickBot="1" x14ac:dyDescent="0.25">
      <c r="A1" s="19"/>
      <c r="B1" s="19"/>
      <c r="C1" s="19"/>
      <c r="D1" s="19"/>
      <c r="E1" s="19"/>
      <c r="F1" s="20" t="s">
        <v>79</v>
      </c>
    </row>
    <row r="2" spans="1:6" ht="16" thickTop="1" x14ac:dyDescent="0.2">
      <c r="A2" s="13"/>
      <c r="B2" s="13"/>
      <c r="C2" s="13" t="s">
        <v>155</v>
      </c>
      <c r="D2" s="13"/>
      <c r="E2" s="13"/>
      <c r="F2" s="14"/>
    </row>
    <row r="3" spans="1:6" x14ac:dyDescent="0.2">
      <c r="A3" s="13"/>
      <c r="B3" s="13"/>
      <c r="C3" s="13"/>
      <c r="D3" s="13" t="s">
        <v>74</v>
      </c>
      <c r="E3" s="13"/>
      <c r="F3" s="14">
        <v>-251286.98</v>
      </c>
    </row>
    <row r="4" spans="1:6" x14ac:dyDescent="0.2">
      <c r="A4" s="13"/>
      <c r="B4" s="13"/>
      <c r="C4" s="13"/>
      <c r="D4" s="13" t="s">
        <v>156</v>
      </c>
      <c r="E4" s="13"/>
      <c r="F4" s="14"/>
    </row>
    <row r="5" spans="1:6" x14ac:dyDescent="0.2">
      <c r="A5" s="13"/>
      <c r="B5" s="13"/>
      <c r="C5" s="13"/>
      <c r="D5" s="13" t="s">
        <v>157</v>
      </c>
      <c r="E5" s="13"/>
      <c r="F5" s="14"/>
    </row>
    <row r="6" spans="1:6" x14ac:dyDescent="0.2">
      <c r="A6" s="13"/>
      <c r="B6" s="13"/>
      <c r="C6" s="13"/>
      <c r="D6" s="13"/>
      <c r="E6" s="13" t="s">
        <v>40</v>
      </c>
      <c r="F6" s="14">
        <v>-8906.4500000000007</v>
      </c>
    </row>
    <row r="7" spans="1:6" x14ac:dyDescent="0.2">
      <c r="A7" s="13"/>
      <c r="B7" s="13"/>
      <c r="C7" s="13"/>
      <c r="D7" s="13"/>
      <c r="E7" s="13" t="s">
        <v>158</v>
      </c>
      <c r="F7" s="14">
        <v>1577.24</v>
      </c>
    </row>
    <row r="8" spans="1:6" x14ac:dyDescent="0.2">
      <c r="A8" s="13"/>
      <c r="B8" s="13"/>
      <c r="C8" s="13"/>
      <c r="D8" s="13"/>
      <c r="E8" s="13" t="s">
        <v>159</v>
      </c>
      <c r="F8" s="14">
        <v>120.64</v>
      </c>
    </row>
    <row r="9" spans="1:6" x14ac:dyDescent="0.2">
      <c r="A9" s="13"/>
      <c r="B9" s="13"/>
      <c r="C9" s="13"/>
      <c r="D9" s="13"/>
      <c r="E9" s="13" t="s">
        <v>160</v>
      </c>
      <c r="F9" s="14">
        <v>2506.66</v>
      </c>
    </row>
    <row r="10" spans="1:6" ht="16" thickBot="1" x14ac:dyDescent="0.25">
      <c r="A10" s="13"/>
      <c r="B10" s="13"/>
      <c r="C10" s="13"/>
      <c r="D10" s="13"/>
      <c r="E10" s="13" t="s">
        <v>161</v>
      </c>
      <c r="F10" s="15">
        <v>1682.97</v>
      </c>
    </row>
    <row r="11" spans="1:6" x14ac:dyDescent="0.2">
      <c r="A11" s="13"/>
      <c r="B11" s="13"/>
      <c r="C11" s="13" t="s">
        <v>162</v>
      </c>
      <c r="D11" s="13"/>
      <c r="E11" s="13"/>
      <c r="F11" s="14">
        <f>ROUND(SUM(F2:F3)+SUM(F6:F10),5)</f>
        <v>-254305.92000000001</v>
      </c>
    </row>
    <row r="12" spans="1:6" x14ac:dyDescent="0.2">
      <c r="A12" s="13"/>
      <c r="B12" s="13"/>
      <c r="C12" s="13" t="s">
        <v>163</v>
      </c>
      <c r="D12" s="13"/>
      <c r="E12" s="13"/>
      <c r="F12" s="14"/>
    </row>
    <row r="13" spans="1:6" ht="16" thickBot="1" x14ac:dyDescent="0.25">
      <c r="A13" s="13"/>
      <c r="B13" s="13"/>
      <c r="C13" s="13"/>
      <c r="D13" s="13" t="s">
        <v>164</v>
      </c>
      <c r="E13" s="13"/>
      <c r="F13" s="15">
        <v>110268.87</v>
      </c>
    </row>
    <row r="14" spans="1:6" x14ac:dyDescent="0.2">
      <c r="A14" s="13"/>
      <c r="B14" s="13"/>
      <c r="C14" s="13" t="s">
        <v>165</v>
      </c>
      <c r="D14" s="13"/>
      <c r="E14" s="13"/>
      <c r="F14" s="14">
        <f>ROUND(SUM(F12:F13),5)</f>
        <v>110268.87</v>
      </c>
    </row>
    <row r="15" spans="1:6" x14ac:dyDescent="0.2">
      <c r="A15" s="13"/>
      <c r="B15" s="13"/>
      <c r="C15" s="13" t="s">
        <v>166</v>
      </c>
      <c r="D15" s="13"/>
      <c r="E15" s="13"/>
      <c r="F15" s="14"/>
    </row>
    <row r="16" spans="1:6" x14ac:dyDescent="0.2">
      <c r="A16" s="13"/>
      <c r="B16" s="13"/>
      <c r="C16" s="13"/>
      <c r="D16" s="13" t="s">
        <v>55</v>
      </c>
      <c r="E16" s="13"/>
      <c r="F16" s="14">
        <v>4268.51</v>
      </c>
    </row>
    <row r="17" spans="1:6" x14ac:dyDescent="0.2">
      <c r="A17" s="13"/>
      <c r="B17" s="13"/>
      <c r="C17" s="13"/>
      <c r="D17" s="13" t="s">
        <v>63</v>
      </c>
      <c r="E17" s="13"/>
      <c r="F17" s="14">
        <v>100000</v>
      </c>
    </row>
    <row r="18" spans="1:6" ht="16" thickBot="1" x14ac:dyDescent="0.25">
      <c r="A18" s="13"/>
      <c r="B18" s="13"/>
      <c r="C18" s="13"/>
      <c r="D18" s="13" t="s">
        <v>71</v>
      </c>
      <c r="E18" s="13"/>
      <c r="F18" s="14">
        <v>130.32</v>
      </c>
    </row>
    <row r="19" spans="1:6" ht="16" thickBot="1" x14ac:dyDescent="0.25">
      <c r="A19" s="13"/>
      <c r="B19" s="13"/>
      <c r="C19" s="13" t="s">
        <v>167</v>
      </c>
      <c r="D19" s="13"/>
      <c r="E19" s="13"/>
      <c r="F19" s="16">
        <f>ROUND(SUM(F15:F18),5)</f>
        <v>104398.83</v>
      </c>
    </row>
    <row r="20" spans="1:6" x14ac:dyDescent="0.2">
      <c r="A20" s="13"/>
      <c r="B20" s="13" t="s">
        <v>168</v>
      </c>
      <c r="C20" s="13"/>
      <c r="D20" s="13"/>
      <c r="E20" s="13"/>
      <c r="F20" s="14">
        <f>ROUND(F11+F14+F19,5)</f>
        <v>-39638.22</v>
      </c>
    </row>
    <row r="21" spans="1:6" ht="16" thickBot="1" x14ac:dyDescent="0.25">
      <c r="A21" s="13"/>
      <c r="B21" s="13" t="s">
        <v>169</v>
      </c>
      <c r="C21" s="13"/>
      <c r="D21" s="13"/>
      <c r="E21" s="13"/>
      <c r="F21" s="14">
        <v>125075.75</v>
      </c>
    </row>
    <row r="22" spans="1:6" s="18" customFormat="1" ht="12" thickBot="1" x14ac:dyDescent="0.2">
      <c r="A22" s="13" t="s">
        <v>170</v>
      </c>
      <c r="B22" s="13"/>
      <c r="C22" s="13"/>
      <c r="D22" s="13"/>
      <c r="E22" s="13"/>
      <c r="F22" s="17">
        <f>ROUND(SUM(F20:F21),5)</f>
        <v>85437.53</v>
      </c>
    </row>
    <row r="23" spans="1:6" ht="16" thickTop="1" x14ac:dyDescent="0.2"/>
  </sheetData>
  <pageMargins left="0.7" right="0.7" top="0.75" bottom="0.75" header="0.1" footer="0.3"/>
  <pageSetup orientation="portrait" r:id="rId1"/>
  <headerFooter>
    <oddHeader>&amp;L&amp;"Arial,Bold"&amp;8 9:58 AM
&amp;"Arial,Bold"&amp;8 02/11/26
&amp;"Arial,Bold"&amp;8 &amp;C&amp;"Arial,Bold"&amp;12 Summit Technology Laboratory
&amp;"Arial,Bold"&amp;14 Statement of Cash Flows
&amp;"Arial,Bold"&amp;10 July through September 2025</oddHeader>
    <oddFooter>&amp;R&amp;"Arial,Bold"&amp;8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B3BD-AB11-436E-8CB7-0601768584F2}">
  <dimension ref="A1:F27"/>
  <sheetViews>
    <sheetView workbookViewId="0">
      <pane xSplit="5" ySplit="1" topLeftCell="F2" activePane="bottomRight" state="frozenSplit"/>
      <selection activeCell="F3" sqref="F3"/>
      <selection pane="topRight" activeCell="F3" sqref="F3"/>
      <selection pane="bottomLeft" activeCell="F3" sqref="F3"/>
      <selection pane="bottomRight" activeCell="F3" sqref="F3"/>
    </sheetView>
  </sheetViews>
  <sheetFormatPr baseColWidth="10" defaultColWidth="8.83203125" defaultRowHeight="15" x14ac:dyDescent="0.2"/>
  <cols>
    <col min="1" max="4" width="3" style="18" customWidth="1"/>
    <col min="5" max="5" width="58.6640625" style="18" customWidth="1"/>
    <col min="6" max="6" width="10" bestFit="1" customWidth="1"/>
  </cols>
  <sheetData>
    <row r="1" spans="1:6" s="12" customFormat="1" ht="16" thickBot="1" x14ac:dyDescent="0.25">
      <c r="A1" s="19"/>
      <c r="B1" s="19"/>
      <c r="C1" s="19"/>
      <c r="D1" s="19"/>
      <c r="E1" s="19"/>
      <c r="F1" s="20" t="s">
        <v>80</v>
      </c>
    </row>
    <row r="2" spans="1:6" ht="16" thickTop="1" x14ac:dyDescent="0.2">
      <c r="A2" s="13"/>
      <c r="B2" s="13"/>
      <c r="C2" s="13" t="s">
        <v>155</v>
      </c>
      <c r="D2" s="13"/>
      <c r="E2" s="13"/>
      <c r="F2" s="14"/>
    </row>
    <row r="3" spans="1:6" x14ac:dyDescent="0.2">
      <c r="A3" s="13"/>
      <c r="B3" s="13"/>
      <c r="C3" s="13"/>
      <c r="D3" s="13" t="s">
        <v>74</v>
      </c>
      <c r="E3" s="13"/>
      <c r="F3" s="14">
        <v>-411949.62</v>
      </c>
    </row>
    <row r="4" spans="1:6" x14ac:dyDescent="0.2">
      <c r="A4" s="13"/>
      <c r="B4" s="13"/>
      <c r="C4" s="13"/>
      <c r="D4" s="13" t="s">
        <v>156</v>
      </c>
      <c r="E4" s="13"/>
      <c r="F4" s="14"/>
    </row>
    <row r="5" spans="1:6" x14ac:dyDescent="0.2">
      <c r="A5" s="13"/>
      <c r="B5" s="13"/>
      <c r="C5" s="13"/>
      <c r="D5" s="13" t="s">
        <v>157</v>
      </c>
      <c r="E5" s="13"/>
      <c r="F5" s="14"/>
    </row>
    <row r="6" spans="1:6" x14ac:dyDescent="0.2">
      <c r="A6" s="13"/>
      <c r="B6" s="13"/>
      <c r="C6" s="13"/>
      <c r="D6" s="13"/>
      <c r="E6" s="13" t="s">
        <v>40</v>
      </c>
      <c r="F6" s="14">
        <v>-4050.14</v>
      </c>
    </row>
    <row r="7" spans="1:6" x14ac:dyDescent="0.2">
      <c r="A7" s="13"/>
      <c r="B7" s="13"/>
      <c r="C7" s="13"/>
      <c r="D7" s="13"/>
      <c r="E7" s="13" t="s">
        <v>158</v>
      </c>
      <c r="F7" s="14">
        <v>2208.6</v>
      </c>
    </row>
    <row r="8" spans="1:6" x14ac:dyDescent="0.2">
      <c r="A8" s="13"/>
      <c r="B8" s="13"/>
      <c r="C8" s="13"/>
      <c r="D8" s="13"/>
      <c r="E8" s="13" t="s">
        <v>159</v>
      </c>
      <c r="F8" s="14">
        <v>88.85</v>
      </c>
    </row>
    <row r="9" spans="1:6" x14ac:dyDescent="0.2">
      <c r="A9" s="13"/>
      <c r="B9" s="13"/>
      <c r="C9" s="13"/>
      <c r="D9" s="13"/>
      <c r="E9" s="13" t="s">
        <v>160</v>
      </c>
      <c r="F9" s="14">
        <v>1522.96</v>
      </c>
    </row>
    <row r="10" spans="1:6" x14ac:dyDescent="0.2">
      <c r="A10" s="13"/>
      <c r="B10" s="13"/>
      <c r="C10" s="13"/>
      <c r="D10" s="13"/>
      <c r="E10" s="13" t="s">
        <v>161</v>
      </c>
      <c r="F10" s="14">
        <v>1074.73</v>
      </c>
    </row>
    <row r="11" spans="1:6" x14ac:dyDescent="0.2">
      <c r="A11" s="13"/>
      <c r="B11" s="13"/>
      <c r="C11" s="13"/>
      <c r="D11" s="13"/>
      <c r="E11" s="13" t="s">
        <v>59</v>
      </c>
      <c r="F11" s="14">
        <v>96785.15</v>
      </c>
    </row>
    <row r="12" spans="1:6" ht="16" thickBot="1" x14ac:dyDescent="0.25">
      <c r="A12" s="13"/>
      <c r="B12" s="13"/>
      <c r="C12" s="13"/>
      <c r="D12" s="13"/>
      <c r="E12" s="13" t="s">
        <v>57</v>
      </c>
      <c r="F12" s="15">
        <v>22360</v>
      </c>
    </row>
    <row r="13" spans="1:6" x14ac:dyDescent="0.2">
      <c r="A13" s="13"/>
      <c r="B13" s="13"/>
      <c r="C13" s="13" t="s">
        <v>162</v>
      </c>
      <c r="D13" s="13"/>
      <c r="E13" s="13"/>
      <c r="F13" s="14">
        <f>ROUND(SUM(F2:F3)+SUM(F6:F12),5)</f>
        <v>-291959.46999999997</v>
      </c>
    </row>
    <row r="14" spans="1:6" x14ac:dyDescent="0.2">
      <c r="A14" s="13"/>
      <c r="B14" s="13"/>
      <c r="C14" s="13" t="s">
        <v>163</v>
      </c>
      <c r="D14" s="13"/>
      <c r="E14" s="13"/>
      <c r="F14" s="14"/>
    </row>
    <row r="15" spans="1:6" ht="16" thickBot="1" x14ac:dyDescent="0.25">
      <c r="A15" s="13"/>
      <c r="B15" s="13"/>
      <c r="C15" s="13"/>
      <c r="D15" s="13" t="s">
        <v>164</v>
      </c>
      <c r="E15" s="13"/>
      <c r="F15" s="15">
        <v>110268.87</v>
      </c>
    </row>
    <row r="16" spans="1:6" x14ac:dyDescent="0.2">
      <c r="A16" s="13"/>
      <c r="B16" s="13"/>
      <c r="C16" s="13" t="s">
        <v>165</v>
      </c>
      <c r="D16" s="13"/>
      <c r="E16" s="13"/>
      <c r="F16" s="14">
        <f>ROUND(SUM(F14:F15),5)</f>
        <v>110268.87</v>
      </c>
    </row>
    <row r="17" spans="1:6" x14ac:dyDescent="0.2">
      <c r="A17" s="13"/>
      <c r="B17" s="13"/>
      <c r="C17" s="13" t="s">
        <v>166</v>
      </c>
      <c r="D17" s="13"/>
      <c r="E17" s="13"/>
      <c r="F17" s="14"/>
    </row>
    <row r="18" spans="1:6" x14ac:dyDescent="0.2">
      <c r="A18" s="13"/>
      <c r="B18" s="13"/>
      <c r="C18" s="13"/>
      <c r="D18" s="13" t="s">
        <v>55</v>
      </c>
      <c r="E18" s="13"/>
      <c r="F18" s="14">
        <v>4473.97</v>
      </c>
    </row>
    <row r="19" spans="1:6" x14ac:dyDescent="0.2">
      <c r="A19" s="13"/>
      <c r="B19" s="13"/>
      <c r="C19" s="13"/>
      <c r="D19" s="13" t="s">
        <v>63</v>
      </c>
      <c r="E19" s="13"/>
      <c r="F19" s="14">
        <v>245000</v>
      </c>
    </row>
    <row r="20" spans="1:6" x14ac:dyDescent="0.2">
      <c r="A20" s="13"/>
      <c r="B20" s="13"/>
      <c r="C20" s="13"/>
      <c r="D20" s="13" t="s">
        <v>71</v>
      </c>
      <c r="E20" s="13"/>
      <c r="F20" s="14">
        <v>-8730.9599999999991</v>
      </c>
    </row>
    <row r="21" spans="1:6" x14ac:dyDescent="0.2">
      <c r="A21" s="13"/>
      <c r="B21" s="13"/>
      <c r="C21" s="13"/>
      <c r="D21" s="13" t="s">
        <v>69</v>
      </c>
      <c r="E21" s="13"/>
      <c r="F21" s="14">
        <v>151.24</v>
      </c>
    </row>
    <row r="22" spans="1:6" ht="16" thickBot="1" x14ac:dyDescent="0.25">
      <c r="A22" s="13"/>
      <c r="B22" s="13"/>
      <c r="C22" s="13"/>
      <c r="D22" s="13" t="s">
        <v>70</v>
      </c>
      <c r="E22" s="13"/>
      <c r="F22" s="14">
        <v>50447.360000000001</v>
      </c>
    </row>
    <row r="23" spans="1:6" ht="16" thickBot="1" x14ac:dyDescent="0.25">
      <c r="A23" s="13"/>
      <c r="B23" s="13"/>
      <c r="C23" s="13" t="s">
        <v>167</v>
      </c>
      <c r="D23" s="13"/>
      <c r="E23" s="13"/>
      <c r="F23" s="16">
        <f>ROUND(SUM(F17:F22),5)</f>
        <v>291341.61</v>
      </c>
    </row>
    <row r="24" spans="1:6" x14ac:dyDescent="0.2">
      <c r="A24" s="13"/>
      <c r="B24" s="13" t="s">
        <v>168</v>
      </c>
      <c r="C24" s="13"/>
      <c r="D24" s="13"/>
      <c r="E24" s="13"/>
      <c r="F24" s="14">
        <f>ROUND(F13+F16+F23,5)</f>
        <v>109651.01</v>
      </c>
    </row>
    <row r="25" spans="1:6" ht="16" thickBot="1" x14ac:dyDescent="0.25">
      <c r="A25" s="13"/>
      <c r="B25" s="13" t="s">
        <v>169</v>
      </c>
      <c r="C25" s="13"/>
      <c r="D25" s="13"/>
      <c r="E25" s="13"/>
      <c r="F25" s="14">
        <v>85437.53</v>
      </c>
    </row>
    <row r="26" spans="1:6" s="18" customFormat="1" ht="12" thickBot="1" x14ac:dyDescent="0.2">
      <c r="A26" s="13" t="s">
        <v>170</v>
      </c>
      <c r="B26" s="13"/>
      <c r="C26" s="13"/>
      <c r="D26" s="13"/>
      <c r="E26" s="13"/>
      <c r="F26" s="17">
        <f>ROUND(SUM(F24:F25),5)</f>
        <v>195088.54</v>
      </c>
    </row>
    <row r="27" spans="1:6" ht="16" thickTop="1" x14ac:dyDescent="0.2"/>
  </sheetData>
  <pageMargins left="0.7" right="0.7" top="0.75" bottom="0.75" header="0.1" footer="0.3"/>
  <pageSetup orientation="portrait" r:id="rId1"/>
  <headerFooter>
    <oddHeader>&amp;L&amp;"Arial,Bold"&amp;8 9:58 AM
&amp;"Arial,Bold"&amp;8 02/11/26
&amp;"Arial,Bold"&amp;8 &amp;C&amp;"Arial,Bold"&amp;12 Summit Technology Laboratory
&amp;"Arial,Bold"&amp;14 Statement of Cash Flows
&amp;"Arial,Bold"&amp;10 October through December 2025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2025 P&amp;L</vt:lpstr>
      <vt:lpstr>2025 Balance Sheet</vt:lpstr>
      <vt:lpstr>2025 CashFlowStmt by Year</vt:lpstr>
      <vt:lpstr>CashFlow Q1-2025</vt:lpstr>
      <vt:lpstr>CashFlow Q2-2025</vt:lpstr>
      <vt:lpstr>CashFlow Q3-2025</vt:lpstr>
      <vt:lpstr>CashFlow Q4-2025</vt:lpstr>
      <vt:lpstr>'2025 Balance Sheet'!Print_Titles</vt:lpstr>
      <vt:lpstr>'2025 CashFlowStmt by Year'!Print_Titles</vt:lpstr>
      <vt:lpstr>'2025 P&amp;L'!Print_Titles</vt:lpstr>
      <vt:lpstr>'CashFlow Q1-2025'!Print_Titles</vt:lpstr>
      <vt:lpstr>'CashFlow Q2-2025'!Print_Titles</vt:lpstr>
      <vt:lpstr>'CashFlow Q3-2025'!Print_Titles</vt:lpstr>
      <vt:lpstr>'CashFlow Q4-2025'!Print_Titles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Cheong</dc:creator>
  <cp:lastModifiedBy>CP Pal</cp:lastModifiedBy>
  <dcterms:created xsi:type="dcterms:W3CDTF">2026-02-11T04:10:18Z</dcterms:created>
  <dcterms:modified xsi:type="dcterms:W3CDTF">2026-02-19T00:17:53Z</dcterms:modified>
</cp:coreProperties>
</file>