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synergisttechnology.sharepoint.com/sites/SynergistTechnologiesShare/Shared Documents/0000-0006 Finance/030 - SAFE II Round/New World Angles DD Folder/"/>
    </mc:Choice>
  </mc:AlternateContent>
  <xr:revisionPtr revIDLastSave="0" documentId="8_{33648A56-2453-D544-B230-427A628880E8}" xr6:coauthVersionLast="47" xr6:coauthVersionMax="47" xr10:uidLastSave="{00000000-0000-0000-0000-000000000000}"/>
  <bookViews>
    <workbookView xWindow="3460" yWindow="1460" windowWidth="30200" windowHeight="16900" tabRatio="752" firstSheet="6" activeTab="10" xr2:uid="{A993BE06-813C-492C-A104-47D190429244}"/>
  </bookViews>
  <sheets>
    <sheet name="2026 Budget &gt;&gt;&gt;" sheetId="5" r:id="rId1"/>
    <sheet name="P&amp;L" sheetId="3" r:id="rId2"/>
    <sheet name="CF" sheetId="6" r:id="rId3"/>
    <sheet name="Revenue &gt;&gt;&gt;" sheetId="4" r:id="rId4"/>
    <sheet name="Product &amp; Pricing List" sheetId="1" r:id="rId5"/>
    <sheet name="Solution Offering" sheetId="24" r:id="rId6"/>
    <sheet name="Sales Forecast" sheetId="21" r:id="rId7"/>
    <sheet name="CoGS &gt;&gt;&gt;" sheetId="7" r:id="rId8"/>
    <sheet name="Labor" sheetId="18" r:id="rId9"/>
    <sheet name="Third Party Software" sheetId="20" r:id="rId10"/>
    <sheet name="Hosting &amp; Internet Fees" sheetId="19" r:id="rId11"/>
    <sheet name="Other" sheetId="23" r:id="rId12"/>
    <sheet name="OpEx &gt;&gt;&gt;" sheetId="8" r:id="rId13"/>
    <sheet name="Salaries, Wages, &amp; Benefits" sheetId="10" r:id="rId14"/>
    <sheet name="Contract Labor" sheetId="12" r:id="rId15"/>
    <sheet name="Professional Fees" sheetId="13" r:id="rId16"/>
    <sheet name="Office Expenses" sheetId="14" r:id="rId17"/>
    <sheet name="Advertising &amp; Marketing" sheetId="15" r:id="rId18"/>
    <sheet name="Employee Travel" sheetId="16" r:id="rId19"/>
    <sheet name="Other Operating Expenses" sheetId="17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3" l="1"/>
  <c r="J25" i="12"/>
  <c r="K25" i="12"/>
  <c r="L25" i="12"/>
  <c r="M25" i="12"/>
  <c r="N25" i="12"/>
  <c r="O25" i="12"/>
  <c r="P25" i="12"/>
  <c r="Q25" i="12"/>
  <c r="R25" i="12"/>
  <c r="S25" i="12"/>
  <c r="T25" i="12"/>
  <c r="I25" i="12"/>
  <c r="I7" i="12"/>
  <c r="I10" i="12"/>
  <c r="C13" i="19"/>
  <c r="F15" i="19"/>
  <c r="D28" i="23"/>
  <c r="D12" i="13" s="1"/>
  <c r="W47" i="3"/>
  <c r="W31" i="3"/>
  <c r="W30" i="3"/>
  <c r="U15" i="23"/>
  <c r="T15" i="23"/>
  <c r="S15" i="23"/>
  <c r="R15" i="23"/>
  <c r="U16" i="23"/>
  <c r="T16" i="23"/>
  <c r="S16" i="23"/>
  <c r="R16" i="23"/>
  <c r="U17" i="23"/>
  <c r="T17" i="23"/>
  <c r="S17" i="23"/>
  <c r="R17" i="23"/>
  <c r="U23" i="23"/>
  <c r="T23" i="23"/>
  <c r="S23" i="23"/>
  <c r="R23" i="23"/>
  <c r="U22" i="23"/>
  <c r="T22" i="23"/>
  <c r="S22" i="23"/>
  <c r="R22" i="23"/>
  <c r="U21" i="23"/>
  <c r="T21" i="23"/>
  <c r="S21" i="23"/>
  <c r="R21" i="23"/>
  <c r="F16" i="19"/>
  <c r="C12" i="19"/>
  <c r="F9" i="19"/>
  <c r="G7" i="19"/>
  <c r="H8" i="19"/>
  <c r="I8" i="19" s="1"/>
  <c r="U20" i="20"/>
  <c r="T20" i="20"/>
  <c r="S20" i="20"/>
  <c r="R20" i="20"/>
  <c r="U19" i="20"/>
  <c r="T19" i="20"/>
  <c r="S19" i="20"/>
  <c r="R19" i="20"/>
  <c r="F31" i="19" l="1"/>
  <c r="F29" i="19"/>
  <c r="F24" i="19"/>
  <c r="F23" i="19"/>
  <c r="F22" i="19"/>
  <c r="F32" i="19"/>
  <c r="D7" i="23"/>
  <c r="W17" i="23"/>
  <c r="W23" i="23"/>
  <c r="W16" i="23"/>
  <c r="W22" i="23"/>
  <c r="W21" i="23"/>
  <c r="W15" i="23"/>
  <c r="F25" i="19"/>
  <c r="F20" i="19"/>
  <c r="F21" i="19"/>
  <c r="F33" i="19"/>
  <c r="F28" i="19"/>
  <c r="F30" i="19"/>
  <c r="G9" i="19"/>
  <c r="G15" i="19"/>
  <c r="G16" i="19"/>
  <c r="H7" i="19"/>
  <c r="J8" i="19"/>
  <c r="K8" i="19" s="1"/>
  <c r="L8" i="19" s="1"/>
  <c r="S8" i="19"/>
  <c r="W20" i="20"/>
  <c r="W19" i="20"/>
  <c r="F32" i="18"/>
  <c r="F31" i="18"/>
  <c r="F26" i="18"/>
  <c r="F25" i="18"/>
  <c r="U16" i="20"/>
  <c r="T16" i="20"/>
  <c r="S16" i="20"/>
  <c r="R16" i="20"/>
  <c r="U15" i="20"/>
  <c r="T15" i="20"/>
  <c r="S15" i="20"/>
  <c r="R15" i="20"/>
  <c r="U14" i="20"/>
  <c r="T14" i="20"/>
  <c r="S14" i="20"/>
  <c r="R14" i="20"/>
  <c r="U13" i="20"/>
  <c r="T13" i="20"/>
  <c r="S13" i="20"/>
  <c r="R13" i="20"/>
  <c r="U12" i="20"/>
  <c r="T12" i="20"/>
  <c r="S12" i="20"/>
  <c r="R12" i="20"/>
  <c r="U11" i="20"/>
  <c r="T11" i="20"/>
  <c r="T17" i="20" s="1"/>
  <c r="S11" i="20"/>
  <c r="R11" i="20"/>
  <c r="X18" i="18"/>
  <c r="V18" i="18"/>
  <c r="U18" i="18"/>
  <c r="T18" i="18"/>
  <c r="S18" i="18"/>
  <c r="G21" i="19" l="1"/>
  <c r="G25" i="19"/>
  <c r="G20" i="19"/>
  <c r="G24" i="19"/>
  <c r="G23" i="19"/>
  <c r="G22" i="19"/>
  <c r="G28" i="19"/>
  <c r="G30" i="19"/>
  <c r="G31" i="19"/>
  <c r="G29" i="19"/>
  <c r="G33" i="19"/>
  <c r="G32" i="19"/>
  <c r="F34" i="19"/>
  <c r="H15" i="19"/>
  <c r="H16" i="19"/>
  <c r="I7" i="19"/>
  <c r="H9" i="19"/>
  <c r="T8" i="19"/>
  <c r="S7" i="19"/>
  <c r="S9" i="19" s="1"/>
  <c r="M8" i="19"/>
  <c r="N8" i="19" s="1"/>
  <c r="O8" i="19" s="1"/>
  <c r="S17" i="20"/>
  <c r="U17" i="20"/>
  <c r="R17" i="20"/>
  <c r="W14" i="20"/>
  <c r="W16" i="20"/>
  <c r="W13" i="20"/>
  <c r="W11" i="20"/>
  <c r="W12" i="20"/>
  <c r="W15" i="20"/>
  <c r="S15" i="19" l="1"/>
  <c r="H25" i="19"/>
  <c r="S25" i="19" s="1"/>
  <c r="H20" i="19"/>
  <c r="S20" i="19" s="1"/>
  <c r="H23" i="19"/>
  <c r="S23" i="19" s="1"/>
  <c r="H24" i="19"/>
  <c r="H22" i="19"/>
  <c r="H21" i="19"/>
  <c r="S21" i="19" s="1"/>
  <c r="S22" i="19"/>
  <c r="S24" i="19"/>
  <c r="S16" i="19"/>
  <c r="H32" i="19"/>
  <c r="H31" i="19"/>
  <c r="H29" i="19"/>
  <c r="S29" i="19" s="1"/>
  <c r="H33" i="19"/>
  <c r="S33" i="19" s="1"/>
  <c r="H28" i="19"/>
  <c r="H30" i="19"/>
  <c r="S30" i="19" s="1"/>
  <c r="S32" i="19"/>
  <c r="S31" i="19"/>
  <c r="G34" i="19"/>
  <c r="I16" i="19"/>
  <c r="I15" i="19"/>
  <c r="J7" i="19"/>
  <c r="I9" i="19"/>
  <c r="U8" i="19"/>
  <c r="P8" i="19"/>
  <c r="Q8" i="19" s="1"/>
  <c r="W17" i="20"/>
  <c r="Q21" i="21"/>
  <c r="Q17" i="21"/>
  <c r="O21" i="21"/>
  <c r="T21" i="21" s="1"/>
  <c r="V21" i="21" s="1"/>
  <c r="N21" i="21"/>
  <c r="M21" i="21"/>
  <c r="L21" i="21"/>
  <c r="S21" i="21" s="1"/>
  <c r="K21" i="21"/>
  <c r="J21" i="21"/>
  <c r="I21" i="21"/>
  <c r="R21" i="21" s="1"/>
  <c r="H21" i="21"/>
  <c r="G21" i="21"/>
  <c r="O20" i="21"/>
  <c r="T20" i="21" s="1"/>
  <c r="V20" i="21" s="1"/>
  <c r="N20" i="21"/>
  <c r="M20" i="21"/>
  <c r="L20" i="21"/>
  <c r="S20" i="21" s="1"/>
  <c r="K20" i="21"/>
  <c r="J20" i="21"/>
  <c r="I20" i="21"/>
  <c r="R20" i="21" s="1"/>
  <c r="H20" i="21"/>
  <c r="G20" i="21"/>
  <c r="F20" i="21"/>
  <c r="Q20" i="21" s="1"/>
  <c r="O19" i="21"/>
  <c r="T19" i="21" s="1"/>
  <c r="V19" i="21" s="1"/>
  <c r="N19" i="21"/>
  <c r="M19" i="21"/>
  <c r="L19" i="21"/>
  <c r="S19" i="21" s="1"/>
  <c r="K19" i="21"/>
  <c r="J19" i="21"/>
  <c r="I19" i="21"/>
  <c r="R19" i="21" s="1"/>
  <c r="H19" i="21"/>
  <c r="G19" i="21"/>
  <c r="F19" i="21"/>
  <c r="Q19" i="21" s="1"/>
  <c r="E19" i="21"/>
  <c r="D19" i="21"/>
  <c r="O17" i="21"/>
  <c r="T17" i="21" s="1"/>
  <c r="V17" i="21" s="1"/>
  <c r="N17" i="21"/>
  <c r="M17" i="21"/>
  <c r="L17" i="21"/>
  <c r="S17" i="21" s="1"/>
  <c r="K17" i="21"/>
  <c r="J17" i="21"/>
  <c r="I17" i="21"/>
  <c r="R17" i="21" s="1"/>
  <c r="H17" i="21"/>
  <c r="G17" i="21"/>
  <c r="O16" i="21"/>
  <c r="T16" i="21" s="1"/>
  <c r="V16" i="21" s="1"/>
  <c r="N16" i="21"/>
  <c r="M16" i="21"/>
  <c r="L16" i="21"/>
  <c r="S16" i="21" s="1"/>
  <c r="K16" i="21"/>
  <c r="J16" i="21"/>
  <c r="I16" i="21"/>
  <c r="R16" i="21" s="1"/>
  <c r="H16" i="21"/>
  <c r="G16" i="21"/>
  <c r="F16" i="21"/>
  <c r="Q16" i="21" s="1"/>
  <c r="O15" i="21"/>
  <c r="T15" i="21" s="1"/>
  <c r="V15" i="21" s="1"/>
  <c r="N15" i="21"/>
  <c r="M15" i="21"/>
  <c r="L15" i="21"/>
  <c r="S15" i="21" s="1"/>
  <c r="K15" i="21"/>
  <c r="J15" i="21"/>
  <c r="I15" i="21"/>
  <c r="R15" i="21" s="1"/>
  <c r="H15" i="21"/>
  <c r="G15" i="21"/>
  <c r="F15" i="21"/>
  <c r="Q15" i="21" s="1"/>
  <c r="E15" i="21"/>
  <c r="D15" i="21"/>
  <c r="T8" i="21"/>
  <c r="S8" i="21"/>
  <c r="R8" i="21"/>
  <c r="Q8" i="21"/>
  <c r="O10" i="21"/>
  <c r="T10" i="21" s="1"/>
  <c r="V10" i="21" s="1"/>
  <c r="N10" i="21"/>
  <c r="M10" i="21"/>
  <c r="L10" i="21"/>
  <c r="S10" i="21" s="1"/>
  <c r="K10" i="21"/>
  <c r="J10" i="21"/>
  <c r="I10" i="21"/>
  <c r="R10" i="21" s="1"/>
  <c r="H10" i="21"/>
  <c r="G10" i="21"/>
  <c r="F10" i="21"/>
  <c r="Q10" i="21" s="1"/>
  <c r="E10" i="21"/>
  <c r="D10" i="21"/>
  <c r="O9" i="21"/>
  <c r="N9" i="21"/>
  <c r="O7" i="23" s="1"/>
  <c r="M9" i="21"/>
  <c r="N7" i="23" s="1"/>
  <c r="L9" i="21"/>
  <c r="K9" i="21"/>
  <c r="L7" i="23" s="1"/>
  <c r="J9" i="21"/>
  <c r="K7" i="23" s="1"/>
  <c r="I9" i="21"/>
  <c r="H9" i="21"/>
  <c r="I7" i="23" s="1"/>
  <c r="G9" i="21"/>
  <c r="H7" i="23" s="1"/>
  <c r="F9" i="21"/>
  <c r="E9" i="21"/>
  <c r="F7" i="23" s="1"/>
  <c r="D9" i="21"/>
  <c r="E7" i="23" s="1"/>
  <c r="F26" i="24"/>
  <c r="E26" i="24"/>
  <c r="G28" i="24"/>
  <c r="F28" i="24"/>
  <c r="E28" i="24"/>
  <c r="G27" i="24"/>
  <c r="F27" i="24"/>
  <c r="E27" i="24"/>
  <c r="G26" i="24"/>
  <c r="G25" i="24"/>
  <c r="F25" i="24"/>
  <c r="E25" i="24"/>
  <c r="G19" i="24"/>
  <c r="F19" i="24"/>
  <c r="E19" i="24"/>
  <c r="G18" i="24"/>
  <c r="F18" i="24"/>
  <c r="E18" i="24"/>
  <c r="G17" i="24"/>
  <c r="E17" i="24"/>
  <c r="G16" i="24"/>
  <c r="F16" i="24"/>
  <c r="E16" i="24"/>
  <c r="C19" i="24"/>
  <c r="C28" i="24" s="1"/>
  <c r="C18" i="24"/>
  <c r="C27" i="24" s="1"/>
  <c r="C17" i="24"/>
  <c r="C26" i="24" s="1"/>
  <c r="C16" i="24"/>
  <c r="C25" i="24" s="1"/>
  <c r="C13" i="24"/>
  <c r="C12" i="24"/>
  <c r="F1" i="24"/>
  <c r="M6" i="1"/>
  <c r="L6" i="1"/>
  <c r="K6" i="1"/>
  <c r="Q9" i="21" l="1"/>
  <c r="G7" i="23"/>
  <c r="S9" i="21"/>
  <c r="M7" i="23"/>
  <c r="T9" i="21"/>
  <c r="V9" i="21" s="1"/>
  <c r="P7" i="23"/>
  <c r="R9" i="21"/>
  <c r="J7" i="23"/>
  <c r="S26" i="19"/>
  <c r="I23" i="19"/>
  <c r="I21" i="19"/>
  <c r="I20" i="19"/>
  <c r="I24" i="19"/>
  <c r="I22" i="19"/>
  <c r="I25" i="19"/>
  <c r="H34" i="19"/>
  <c r="S28" i="19"/>
  <c r="S34" i="19" s="1"/>
  <c r="S36" i="19" s="1"/>
  <c r="I30" i="19"/>
  <c r="I31" i="19"/>
  <c r="I29" i="19"/>
  <c r="I33" i="19"/>
  <c r="I28" i="19"/>
  <c r="I32" i="19"/>
  <c r="J15" i="19"/>
  <c r="J16" i="19"/>
  <c r="K7" i="19"/>
  <c r="J9" i="19"/>
  <c r="V8" i="19"/>
  <c r="X8" i="19" s="1"/>
  <c r="F17" i="24"/>
  <c r="J26" i="24"/>
  <c r="G11" i="21"/>
  <c r="O11" i="21"/>
  <c r="T11" i="21" s="1"/>
  <c r="V11" i="21" s="1"/>
  <c r="N11" i="21"/>
  <c r="E11" i="21"/>
  <c r="M11" i="21"/>
  <c r="D11" i="21"/>
  <c r="L11" i="21"/>
  <c r="S11" i="21" s="1"/>
  <c r="V8" i="21"/>
  <c r="J28" i="24"/>
  <c r="J19" i="24"/>
  <c r="J17" i="24"/>
  <c r="J27" i="24"/>
  <c r="J25" i="24"/>
  <c r="J16" i="24"/>
  <c r="J18" i="24"/>
  <c r="K11" i="21"/>
  <c r="J11" i="21"/>
  <c r="F11" i="21"/>
  <c r="Q11" i="21" s="1"/>
  <c r="H11" i="21"/>
  <c r="I11" i="21"/>
  <c r="R11" i="21" s="1"/>
  <c r="G29" i="24"/>
  <c r="G30" i="24" s="1"/>
  <c r="F29" i="24"/>
  <c r="F31" i="24" s="1"/>
  <c r="E29" i="24"/>
  <c r="E31" i="24" s="1"/>
  <c r="F20" i="24"/>
  <c r="E20" i="24"/>
  <c r="G20" i="24"/>
  <c r="G21" i="24" s="1"/>
  <c r="J8" i="24"/>
  <c r="J6" i="24"/>
  <c r="J7" i="24"/>
  <c r="K32" i="21" s="1"/>
  <c r="M32" i="18" s="1"/>
  <c r="J5" i="24"/>
  <c r="R7" i="23" l="1"/>
  <c r="S7" i="23"/>
  <c r="T7" i="23"/>
  <c r="U7" i="23"/>
  <c r="D33" i="21"/>
  <c r="F33" i="18" s="1"/>
  <c r="F27" i="21"/>
  <c r="H26" i="18" s="1"/>
  <c r="N32" i="21"/>
  <c r="P32" i="18" s="1"/>
  <c r="L32" i="21"/>
  <c r="N32" i="18" s="1"/>
  <c r="H32" i="21"/>
  <c r="J32" i="18" s="1"/>
  <c r="M32" i="21"/>
  <c r="O32" i="18" s="1"/>
  <c r="G27" i="21"/>
  <c r="I26" i="18" s="1"/>
  <c r="G32" i="21"/>
  <c r="I32" i="18" s="1"/>
  <c r="H27" i="21"/>
  <c r="J26" i="18" s="1"/>
  <c r="F32" i="21"/>
  <c r="H32" i="18" s="1"/>
  <c r="J27" i="21"/>
  <c r="L26" i="18" s="1"/>
  <c r="O32" i="21"/>
  <c r="Q32" i="18" s="1"/>
  <c r="I27" i="21"/>
  <c r="K26" i="18" s="1"/>
  <c r="I32" i="21"/>
  <c r="K32" i="18" s="1"/>
  <c r="J32" i="21"/>
  <c r="L32" i="18" s="1"/>
  <c r="M27" i="21"/>
  <c r="O26" i="18" s="1"/>
  <c r="E32" i="21"/>
  <c r="G32" i="18" s="1"/>
  <c r="E27" i="21"/>
  <c r="G26" i="18" s="1"/>
  <c r="N27" i="21"/>
  <c r="P26" i="18" s="1"/>
  <c r="K27" i="21"/>
  <c r="M26" i="18" s="1"/>
  <c r="O27" i="21"/>
  <c r="Q26" i="18" s="1"/>
  <c r="L27" i="21"/>
  <c r="N26" i="18" s="1"/>
  <c r="J20" i="19"/>
  <c r="J24" i="19"/>
  <c r="J22" i="19"/>
  <c r="J21" i="19"/>
  <c r="J25" i="19"/>
  <c r="J23" i="19"/>
  <c r="J31" i="19"/>
  <c r="J29" i="19"/>
  <c r="J33" i="19"/>
  <c r="J28" i="19"/>
  <c r="J32" i="19"/>
  <c r="J30" i="19"/>
  <c r="I34" i="19"/>
  <c r="T7" i="19"/>
  <c r="T9" i="19" s="1"/>
  <c r="K15" i="19"/>
  <c r="K16" i="19"/>
  <c r="L7" i="19"/>
  <c r="K9" i="19"/>
  <c r="H28" i="21"/>
  <c r="J27" i="18" s="1"/>
  <c r="I33" i="21"/>
  <c r="K33" i="18" s="1"/>
  <c r="G28" i="21"/>
  <c r="I27" i="18" s="1"/>
  <c r="J33" i="21"/>
  <c r="L33" i="18" s="1"/>
  <c r="L28" i="21"/>
  <c r="N27" i="18" s="1"/>
  <c r="H33" i="21"/>
  <c r="J33" i="18" s="1"/>
  <c r="K33" i="21"/>
  <c r="M33" i="18" s="1"/>
  <c r="N28" i="21"/>
  <c r="P27" i="18" s="1"/>
  <c r="K28" i="21"/>
  <c r="M27" i="18" s="1"/>
  <c r="O28" i="21"/>
  <c r="Q27" i="18" s="1"/>
  <c r="F28" i="21"/>
  <c r="H27" i="18" s="1"/>
  <c r="J28" i="21"/>
  <c r="L27" i="18" s="1"/>
  <c r="E33" i="21"/>
  <c r="G33" i="18" s="1"/>
  <c r="I28" i="21"/>
  <c r="K27" i="18" s="1"/>
  <c r="E28" i="21"/>
  <c r="G27" i="18" s="1"/>
  <c r="L33" i="21"/>
  <c r="N33" i="18" s="1"/>
  <c r="O33" i="21"/>
  <c r="Q33" i="18" s="1"/>
  <c r="G33" i="21"/>
  <c r="I33" i="18" s="1"/>
  <c r="M33" i="21"/>
  <c r="O33" i="18" s="1"/>
  <c r="F33" i="21"/>
  <c r="H33" i="18" s="1"/>
  <c r="M28" i="21"/>
  <c r="O27" i="18" s="1"/>
  <c r="D28" i="21"/>
  <c r="F27" i="18" s="1"/>
  <c r="N33" i="21"/>
  <c r="P33" i="18" s="1"/>
  <c r="G31" i="24"/>
  <c r="N30" i="21"/>
  <c r="F30" i="21"/>
  <c r="H25" i="21"/>
  <c r="E25" i="21"/>
  <c r="M30" i="21"/>
  <c r="E30" i="21"/>
  <c r="O25" i="21"/>
  <c r="G25" i="21"/>
  <c r="M25" i="21"/>
  <c r="L30" i="21"/>
  <c r="D30" i="21"/>
  <c r="N25" i="21"/>
  <c r="F25" i="21"/>
  <c r="K30" i="21"/>
  <c r="J30" i="21"/>
  <c r="L25" i="21"/>
  <c r="D25" i="21"/>
  <c r="I30" i="21"/>
  <c r="K25" i="21"/>
  <c r="H30" i="21"/>
  <c r="J25" i="21"/>
  <c r="O30" i="21"/>
  <c r="G30" i="21"/>
  <c r="I25" i="21"/>
  <c r="F30" i="24"/>
  <c r="J20" i="24"/>
  <c r="J21" i="24" s="1"/>
  <c r="E30" i="24"/>
  <c r="J29" i="24"/>
  <c r="J30" i="24" s="1"/>
  <c r="F21" i="24"/>
  <c r="F22" i="24"/>
  <c r="G22" i="24"/>
  <c r="E22" i="24"/>
  <c r="E21" i="24"/>
  <c r="Q27" i="21" l="1"/>
  <c r="V32" i="18"/>
  <c r="U32" i="18"/>
  <c r="W7" i="23"/>
  <c r="Q32" i="21"/>
  <c r="R32" i="21"/>
  <c r="T32" i="21"/>
  <c r="R27" i="21"/>
  <c r="S32" i="21"/>
  <c r="S27" i="21"/>
  <c r="T32" i="18"/>
  <c r="U33" i="18"/>
  <c r="I30" i="18"/>
  <c r="Q24" i="18"/>
  <c r="Q30" i="18"/>
  <c r="M30" i="18"/>
  <c r="G30" i="18"/>
  <c r="L30" i="18"/>
  <c r="S33" i="18"/>
  <c r="L24" i="18"/>
  <c r="H24" i="18"/>
  <c r="O30" i="18"/>
  <c r="P24" i="18"/>
  <c r="M24" i="18"/>
  <c r="J24" i="18"/>
  <c r="T27" i="21"/>
  <c r="T33" i="18"/>
  <c r="S32" i="18"/>
  <c r="J30" i="18"/>
  <c r="G24" i="18"/>
  <c r="F30" i="18"/>
  <c r="N30" i="18"/>
  <c r="F24" i="18"/>
  <c r="O24" i="18"/>
  <c r="P30" i="18"/>
  <c r="V33" i="18"/>
  <c r="K30" i="18"/>
  <c r="H30" i="18"/>
  <c r="K24" i="18"/>
  <c r="N24" i="18"/>
  <c r="I24" i="18"/>
  <c r="T15" i="19"/>
  <c r="K24" i="19"/>
  <c r="T24" i="19" s="1"/>
  <c r="K22" i="19"/>
  <c r="T22" i="19" s="1"/>
  <c r="K25" i="19"/>
  <c r="T25" i="19" s="1"/>
  <c r="K23" i="19"/>
  <c r="T23" i="19" s="1"/>
  <c r="K21" i="19"/>
  <c r="T21" i="19" s="1"/>
  <c r="K20" i="19"/>
  <c r="T20" i="19" s="1"/>
  <c r="J34" i="19"/>
  <c r="T16" i="19"/>
  <c r="K31" i="19"/>
  <c r="T31" i="19" s="1"/>
  <c r="K29" i="19"/>
  <c r="T29" i="19" s="1"/>
  <c r="K33" i="19"/>
  <c r="T33" i="19" s="1"/>
  <c r="K28" i="19"/>
  <c r="K32" i="19"/>
  <c r="T32" i="19" s="1"/>
  <c r="K30" i="19"/>
  <c r="T30" i="19" s="1"/>
  <c r="L16" i="19"/>
  <c r="L15" i="19"/>
  <c r="M7" i="19"/>
  <c r="L9" i="19"/>
  <c r="R28" i="21"/>
  <c r="S25" i="21"/>
  <c r="T25" i="21"/>
  <c r="V25" i="21" s="1"/>
  <c r="Q25" i="21"/>
  <c r="R25" i="21"/>
  <c r="S28" i="21"/>
  <c r="T28" i="21"/>
  <c r="Q28" i="21"/>
  <c r="R33" i="21"/>
  <c r="S33" i="21"/>
  <c r="T33" i="21"/>
  <c r="Q33" i="21"/>
  <c r="J22" i="24"/>
  <c r="N31" i="21"/>
  <c r="P31" i="18" s="1"/>
  <c r="G31" i="21"/>
  <c r="I31" i="18" s="1"/>
  <c r="J31" i="21"/>
  <c r="L31" i="18" s="1"/>
  <c r="K31" i="21"/>
  <c r="M31" i="18" s="1"/>
  <c r="M31" i="21"/>
  <c r="O31" i="18" s="1"/>
  <c r="H31" i="21"/>
  <c r="J31" i="18" s="1"/>
  <c r="E31" i="21"/>
  <c r="G31" i="18" s="1"/>
  <c r="T30" i="21"/>
  <c r="V30" i="21" s="1"/>
  <c r="O31" i="21"/>
  <c r="Q31" i="18" s="1"/>
  <c r="R30" i="21"/>
  <c r="I31" i="21"/>
  <c r="K31" i="18" s="1"/>
  <c r="L31" i="21"/>
  <c r="N31" i="18" s="1"/>
  <c r="S30" i="21"/>
  <c r="F31" i="21"/>
  <c r="H31" i="18" s="1"/>
  <c r="Q30" i="21"/>
  <c r="L26" i="21"/>
  <c r="N25" i="18" s="1"/>
  <c r="O26" i="21"/>
  <c r="Q25" i="18" s="1"/>
  <c r="J26" i="21"/>
  <c r="L25" i="18" s="1"/>
  <c r="F26" i="21"/>
  <c r="H25" i="18" s="1"/>
  <c r="N26" i="21"/>
  <c r="P25" i="18" s="1"/>
  <c r="E26" i="21"/>
  <c r="G25" i="18" s="1"/>
  <c r="I26" i="21"/>
  <c r="K25" i="18" s="1"/>
  <c r="G26" i="21"/>
  <c r="I25" i="18" s="1"/>
  <c r="K26" i="21"/>
  <c r="M25" i="18" s="1"/>
  <c r="H26" i="21"/>
  <c r="J25" i="18" s="1"/>
  <c r="M26" i="21"/>
  <c r="O25" i="18" s="1"/>
  <c r="J31" i="24"/>
  <c r="S24" i="18" l="1"/>
  <c r="V32" i="21"/>
  <c r="P28" i="18"/>
  <c r="V27" i="21"/>
  <c r="Q28" i="18"/>
  <c r="J28" i="18"/>
  <c r="L34" i="18"/>
  <c r="K28" i="18"/>
  <c r="I34" i="18"/>
  <c r="L28" i="18"/>
  <c r="O28" i="18"/>
  <c r="Q34" i="18"/>
  <c r="G28" i="18"/>
  <c r="M28" i="18"/>
  <c r="H28" i="18"/>
  <c r="G34" i="18"/>
  <c r="H34" i="18"/>
  <c r="T24" i="18"/>
  <c r="X32" i="18"/>
  <c r="N28" i="18"/>
  <c r="U31" i="18"/>
  <c r="F28" i="18"/>
  <c r="X33" i="18"/>
  <c r="F34" i="18"/>
  <c r="N34" i="18"/>
  <c r="S31" i="18"/>
  <c r="V30" i="18"/>
  <c r="T31" i="18"/>
  <c r="K34" i="18"/>
  <c r="J34" i="18"/>
  <c r="U30" i="18"/>
  <c r="M34" i="18"/>
  <c r="T30" i="18"/>
  <c r="U24" i="18"/>
  <c r="V31" i="18"/>
  <c r="I28" i="18"/>
  <c r="O34" i="18"/>
  <c r="P34" i="18"/>
  <c r="V24" i="18"/>
  <c r="S30" i="18"/>
  <c r="T26" i="19"/>
  <c r="L22" i="19"/>
  <c r="L23" i="19"/>
  <c r="L21" i="19"/>
  <c r="L25" i="19"/>
  <c r="L20" i="19"/>
  <c r="L24" i="19"/>
  <c r="L29" i="19"/>
  <c r="L28" i="19"/>
  <c r="L32" i="19"/>
  <c r="L30" i="19"/>
  <c r="L31" i="19"/>
  <c r="L33" i="19"/>
  <c r="K34" i="19"/>
  <c r="T28" i="19"/>
  <c r="T34" i="19" s="1"/>
  <c r="M16" i="19"/>
  <c r="M15" i="19"/>
  <c r="N7" i="19"/>
  <c r="M9" i="19"/>
  <c r="V28" i="21"/>
  <c r="V33" i="21"/>
  <c r="Q26" i="21"/>
  <c r="Q31" i="21"/>
  <c r="S31" i="21"/>
  <c r="R31" i="21"/>
  <c r="S26" i="21"/>
  <c r="T31" i="21"/>
  <c r="R26" i="21"/>
  <c r="T26" i="21"/>
  <c r="J36" i="18" l="1"/>
  <c r="K36" i="18"/>
  <c r="T36" i="19"/>
  <c r="Q36" i="18"/>
  <c r="P36" i="18"/>
  <c r="L36" i="18"/>
  <c r="T34" i="18"/>
  <c r="M36" i="18"/>
  <c r="S34" i="18"/>
  <c r="U34" i="18"/>
  <c r="O36" i="18"/>
  <c r="N36" i="18"/>
  <c r="I36" i="18"/>
  <c r="H36" i="18"/>
  <c r="X24" i="18"/>
  <c r="X31" i="18"/>
  <c r="G36" i="18"/>
  <c r="V34" i="18"/>
  <c r="X30" i="18"/>
  <c r="F36" i="18"/>
  <c r="M24" i="19"/>
  <c r="M23" i="19"/>
  <c r="M21" i="19"/>
  <c r="M25" i="19"/>
  <c r="M20" i="19"/>
  <c r="M22" i="19"/>
  <c r="M33" i="19"/>
  <c r="M28" i="19"/>
  <c r="M32" i="19"/>
  <c r="M30" i="19"/>
  <c r="M31" i="19"/>
  <c r="M29" i="19"/>
  <c r="L34" i="19"/>
  <c r="N16" i="19"/>
  <c r="N15" i="19"/>
  <c r="O7" i="19"/>
  <c r="N9" i="19"/>
  <c r="U7" i="19"/>
  <c r="V26" i="21"/>
  <c r="V31" i="21"/>
  <c r="X34" i="18" l="1"/>
  <c r="U15" i="19"/>
  <c r="N23" i="19"/>
  <c r="U23" i="19" s="1"/>
  <c r="N21" i="19"/>
  <c r="U21" i="19" s="1"/>
  <c r="N25" i="19"/>
  <c r="U25" i="19" s="1"/>
  <c r="N20" i="19"/>
  <c r="U20" i="19" s="1"/>
  <c r="N24" i="19"/>
  <c r="U24" i="19" s="1"/>
  <c r="N22" i="19"/>
  <c r="U22" i="19" s="1"/>
  <c r="M34" i="19"/>
  <c r="U16" i="19"/>
  <c r="N28" i="19"/>
  <c r="N32" i="19"/>
  <c r="U32" i="19" s="1"/>
  <c r="N30" i="19"/>
  <c r="U30" i="19" s="1"/>
  <c r="N31" i="19"/>
  <c r="U31" i="19" s="1"/>
  <c r="N29" i="19"/>
  <c r="U29" i="19" s="1"/>
  <c r="N33" i="19"/>
  <c r="U33" i="19" s="1"/>
  <c r="O16" i="19"/>
  <c r="O15" i="19"/>
  <c r="U9" i="19"/>
  <c r="P7" i="19"/>
  <c r="O9" i="19"/>
  <c r="N34" i="19" l="1"/>
  <c r="U26" i="19"/>
  <c r="O21" i="19"/>
  <c r="O22" i="19"/>
  <c r="O25" i="19"/>
  <c r="O20" i="19"/>
  <c r="O24" i="19"/>
  <c r="O23" i="19"/>
  <c r="U28" i="19"/>
  <c r="U34" i="19" s="1"/>
  <c r="O28" i="19"/>
  <c r="O32" i="19"/>
  <c r="O30" i="19"/>
  <c r="O31" i="19"/>
  <c r="O29" i="19"/>
  <c r="O33" i="19"/>
  <c r="P15" i="19"/>
  <c r="P16" i="19"/>
  <c r="Q7" i="19"/>
  <c r="P9" i="19"/>
  <c r="U36" i="19" l="1"/>
  <c r="P25" i="19"/>
  <c r="P20" i="19"/>
  <c r="P24" i="19"/>
  <c r="P22" i="19"/>
  <c r="P21" i="19"/>
  <c r="P23" i="19"/>
  <c r="O34" i="19"/>
  <c r="P32" i="19"/>
  <c r="P30" i="19"/>
  <c r="P31" i="19"/>
  <c r="P29" i="19"/>
  <c r="P33" i="19"/>
  <c r="P28" i="19"/>
  <c r="Q16" i="19"/>
  <c r="Q15" i="19"/>
  <c r="Q9" i="19"/>
  <c r="V7" i="19"/>
  <c r="V15" i="19" l="1"/>
  <c r="X15" i="19" s="1"/>
  <c r="Q20" i="19"/>
  <c r="V20" i="19" s="1"/>
  <c r="Q23" i="19"/>
  <c r="V23" i="19" s="1"/>
  <c r="X23" i="19" s="1"/>
  <c r="Q24" i="19"/>
  <c r="V24" i="19" s="1"/>
  <c r="X24" i="19" s="1"/>
  <c r="Q22" i="19"/>
  <c r="V22" i="19" s="1"/>
  <c r="X22" i="19" s="1"/>
  <c r="Q21" i="19"/>
  <c r="V21" i="19" s="1"/>
  <c r="X21" i="19" s="1"/>
  <c r="Q25" i="19"/>
  <c r="V25" i="19" s="1"/>
  <c r="X25" i="19" s="1"/>
  <c r="V16" i="19"/>
  <c r="X16" i="19" s="1"/>
  <c r="Q30" i="19"/>
  <c r="V30" i="19" s="1"/>
  <c r="X30" i="19" s="1"/>
  <c r="Q31" i="19"/>
  <c r="V31" i="19" s="1"/>
  <c r="X31" i="19" s="1"/>
  <c r="Q29" i="19"/>
  <c r="V29" i="19" s="1"/>
  <c r="X29" i="19" s="1"/>
  <c r="Q33" i="19"/>
  <c r="V33" i="19" s="1"/>
  <c r="X33" i="19" s="1"/>
  <c r="Q28" i="19"/>
  <c r="V28" i="19" s="1"/>
  <c r="Q32" i="19"/>
  <c r="V32" i="19" s="1"/>
  <c r="X32" i="19" s="1"/>
  <c r="P34" i="19"/>
  <c r="V9" i="19"/>
  <c r="X7" i="19"/>
  <c r="X9" i="19" s="1"/>
  <c r="V26" i="19" l="1"/>
  <c r="X20" i="19"/>
  <c r="X26" i="19" s="1"/>
  <c r="X28" i="19"/>
  <c r="X34" i="19" s="1"/>
  <c r="V34" i="19"/>
  <c r="Q34" i="19"/>
  <c r="X36" i="19" l="1"/>
  <c r="V36" i="19"/>
  <c r="U27" i="14"/>
  <c r="T27" i="14"/>
  <c r="S27" i="14"/>
  <c r="R27" i="14"/>
  <c r="W27" i="14" l="1"/>
  <c r="U26" i="14"/>
  <c r="T26" i="14"/>
  <c r="S26" i="14"/>
  <c r="R26" i="14"/>
  <c r="W26" i="14" l="1"/>
  <c r="F5" i="23" l="1"/>
  <c r="G5" i="23" s="1"/>
  <c r="H5" i="23" s="1"/>
  <c r="I5" i="23" s="1"/>
  <c r="J5" i="23" s="1"/>
  <c r="K5" i="23" s="1"/>
  <c r="L5" i="23" s="1"/>
  <c r="M5" i="23" s="1"/>
  <c r="N5" i="23" s="1"/>
  <c r="O5" i="23" s="1"/>
  <c r="P5" i="23" s="1"/>
  <c r="P17" i="20"/>
  <c r="O17" i="20"/>
  <c r="N17" i="20"/>
  <c r="M17" i="20"/>
  <c r="L17" i="20"/>
  <c r="K17" i="20"/>
  <c r="J17" i="20"/>
  <c r="I17" i="20"/>
  <c r="H17" i="20"/>
  <c r="G17" i="20"/>
  <c r="F17" i="20"/>
  <c r="E17" i="20"/>
  <c r="V27" i="18"/>
  <c r="U27" i="18"/>
  <c r="T27" i="18"/>
  <c r="S27" i="18"/>
  <c r="D59" i="21"/>
  <c r="D64" i="21" s="1"/>
  <c r="T7" i="21"/>
  <c r="S7" i="21"/>
  <c r="R7" i="21"/>
  <c r="Q7" i="21"/>
  <c r="E5" i="21"/>
  <c r="F5" i="21" s="1"/>
  <c r="G5" i="21" s="1"/>
  <c r="H5" i="21" s="1"/>
  <c r="I5" i="21" s="1"/>
  <c r="J5" i="21" s="1"/>
  <c r="K5" i="21" s="1"/>
  <c r="L5" i="21" s="1"/>
  <c r="M5" i="21" s="1"/>
  <c r="N5" i="21" s="1"/>
  <c r="O5" i="21" s="1"/>
  <c r="I1" i="1"/>
  <c r="Q18" i="18"/>
  <c r="P18" i="18"/>
  <c r="O18" i="18"/>
  <c r="N18" i="18"/>
  <c r="M18" i="18"/>
  <c r="L18" i="18"/>
  <c r="K18" i="18"/>
  <c r="J18" i="18"/>
  <c r="I18" i="18"/>
  <c r="H18" i="18"/>
  <c r="G18" i="18"/>
  <c r="F18" i="18"/>
  <c r="P8" i="20"/>
  <c r="O8" i="20"/>
  <c r="N8" i="20"/>
  <c r="M8" i="20"/>
  <c r="L8" i="20"/>
  <c r="K8" i="20"/>
  <c r="J8" i="20"/>
  <c r="I8" i="20"/>
  <c r="H8" i="20"/>
  <c r="G8" i="20"/>
  <c r="F8" i="20"/>
  <c r="E8" i="20"/>
  <c r="Q15" i="18"/>
  <c r="P15" i="18"/>
  <c r="O15" i="18"/>
  <c r="N15" i="18"/>
  <c r="M15" i="18"/>
  <c r="L15" i="18"/>
  <c r="K15" i="18"/>
  <c r="J15" i="18"/>
  <c r="I15" i="18"/>
  <c r="T15" i="18" s="1"/>
  <c r="H15" i="18"/>
  <c r="G15" i="18"/>
  <c r="Q14" i="18"/>
  <c r="P14" i="18"/>
  <c r="O14" i="18"/>
  <c r="N14" i="18"/>
  <c r="M14" i="18"/>
  <c r="L14" i="18"/>
  <c r="U14" i="18" s="1"/>
  <c r="K14" i="18"/>
  <c r="J14" i="18"/>
  <c r="I14" i="18"/>
  <c r="H14" i="18"/>
  <c r="G14" i="18"/>
  <c r="Q13" i="18"/>
  <c r="P13" i="18"/>
  <c r="O13" i="18"/>
  <c r="V13" i="18" s="1"/>
  <c r="N13" i="18"/>
  <c r="M13" i="18"/>
  <c r="L13" i="18"/>
  <c r="K13" i="18"/>
  <c r="J13" i="18"/>
  <c r="I13" i="18"/>
  <c r="H13" i="18"/>
  <c r="G13" i="18"/>
  <c r="Q12" i="18"/>
  <c r="P12" i="18"/>
  <c r="O12" i="18"/>
  <c r="N12" i="18"/>
  <c r="M12" i="18"/>
  <c r="L12" i="18"/>
  <c r="K12" i="18"/>
  <c r="J12" i="18"/>
  <c r="I12" i="18"/>
  <c r="H12" i="18"/>
  <c r="G12" i="18"/>
  <c r="Q11" i="18"/>
  <c r="P11" i="18"/>
  <c r="O11" i="18"/>
  <c r="N11" i="18"/>
  <c r="M11" i="18"/>
  <c r="L11" i="18"/>
  <c r="K11" i="18"/>
  <c r="J11" i="18"/>
  <c r="I11" i="18"/>
  <c r="H11" i="18"/>
  <c r="G11" i="18"/>
  <c r="Q10" i="18"/>
  <c r="P10" i="18"/>
  <c r="O10" i="18"/>
  <c r="N10" i="18"/>
  <c r="M10" i="18"/>
  <c r="L10" i="18"/>
  <c r="K10" i="18"/>
  <c r="J10" i="18"/>
  <c r="I10" i="18"/>
  <c r="H10" i="18"/>
  <c r="G10" i="18"/>
  <c r="Q9" i="18"/>
  <c r="P9" i="18"/>
  <c r="O9" i="18"/>
  <c r="N9" i="18"/>
  <c r="M9" i="18"/>
  <c r="L9" i="18"/>
  <c r="K9" i="18"/>
  <c r="J9" i="18"/>
  <c r="I9" i="18"/>
  <c r="H9" i="18"/>
  <c r="G9" i="18"/>
  <c r="Q8" i="18"/>
  <c r="P8" i="18"/>
  <c r="O8" i="18"/>
  <c r="N8" i="18"/>
  <c r="M8" i="18"/>
  <c r="L8" i="18"/>
  <c r="K8" i="18"/>
  <c r="J8" i="18"/>
  <c r="I8" i="18"/>
  <c r="H8" i="18"/>
  <c r="G8" i="18"/>
  <c r="Q7" i="18"/>
  <c r="P7" i="18"/>
  <c r="O7" i="18"/>
  <c r="N7" i="18"/>
  <c r="M7" i="18"/>
  <c r="L7" i="18"/>
  <c r="K7" i="18"/>
  <c r="J7" i="18"/>
  <c r="I7" i="18"/>
  <c r="T7" i="18" s="1"/>
  <c r="H7" i="18"/>
  <c r="G7" i="18"/>
  <c r="F15" i="18"/>
  <c r="F14" i="18"/>
  <c r="F13" i="18"/>
  <c r="F12" i="18"/>
  <c r="F11" i="18"/>
  <c r="F10" i="18"/>
  <c r="F9" i="18"/>
  <c r="F8" i="18"/>
  <c r="S8" i="18" s="1"/>
  <c r="F7" i="18"/>
  <c r="U7" i="20"/>
  <c r="T7" i="20"/>
  <c r="S7" i="20"/>
  <c r="R7" i="20"/>
  <c r="F5" i="20"/>
  <c r="G5" i="20" s="1"/>
  <c r="H5" i="20" s="1"/>
  <c r="I5" i="20" s="1"/>
  <c r="J5" i="20" s="1"/>
  <c r="K5" i="20" s="1"/>
  <c r="L5" i="20" s="1"/>
  <c r="M5" i="20" s="1"/>
  <c r="N5" i="20" s="1"/>
  <c r="O5" i="20" s="1"/>
  <c r="P5" i="20" s="1"/>
  <c r="G5" i="19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G5" i="18"/>
  <c r="H5" i="18" s="1"/>
  <c r="I5" i="18" s="1"/>
  <c r="J5" i="18" s="1"/>
  <c r="K5" i="18" s="1"/>
  <c r="L5" i="18" s="1"/>
  <c r="M5" i="18" s="1"/>
  <c r="N5" i="18" s="1"/>
  <c r="O5" i="18" s="1"/>
  <c r="P5" i="18" s="1"/>
  <c r="Q5" i="18" s="1"/>
  <c r="O9" i="6"/>
  <c r="N9" i="6"/>
  <c r="M9" i="6"/>
  <c r="L9" i="6"/>
  <c r="K9" i="6"/>
  <c r="J9" i="6"/>
  <c r="I9" i="6"/>
  <c r="H9" i="6"/>
  <c r="G9" i="6"/>
  <c r="F9" i="6"/>
  <c r="E9" i="6"/>
  <c r="D9" i="6"/>
  <c r="R14" i="17"/>
  <c r="R19" i="17"/>
  <c r="U10" i="17"/>
  <c r="T10" i="17"/>
  <c r="S10" i="17"/>
  <c r="R10" i="17"/>
  <c r="U21" i="17"/>
  <c r="T21" i="17"/>
  <c r="S21" i="17"/>
  <c r="R21" i="17"/>
  <c r="U20" i="17"/>
  <c r="T20" i="17"/>
  <c r="S20" i="17"/>
  <c r="R20" i="17"/>
  <c r="U19" i="17"/>
  <c r="T19" i="17"/>
  <c r="S19" i="17"/>
  <c r="U18" i="17"/>
  <c r="T18" i="17"/>
  <c r="S18" i="17"/>
  <c r="R18" i="17"/>
  <c r="U17" i="17"/>
  <c r="T17" i="17"/>
  <c r="S17" i="17"/>
  <c r="R17" i="17"/>
  <c r="U16" i="17"/>
  <c r="T16" i="17"/>
  <c r="S16" i="17"/>
  <c r="R16" i="17"/>
  <c r="S25" i="10"/>
  <c r="P22" i="17"/>
  <c r="O43" i="3" s="1"/>
  <c r="O22" i="17"/>
  <c r="N43" i="3" s="1"/>
  <c r="N22" i="17"/>
  <c r="M43" i="3" s="1"/>
  <c r="M22" i="17"/>
  <c r="L43" i="3" s="1"/>
  <c r="L22" i="17"/>
  <c r="K43" i="3" s="1"/>
  <c r="K22" i="17"/>
  <c r="J43" i="3" s="1"/>
  <c r="J22" i="17"/>
  <c r="I43" i="3" s="1"/>
  <c r="I22" i="17"/>
  <c r="H43" i="3" s="1"/>
  <c r="H22" i="17"/>
  <c r="G43" i="3" s="1"/>
  <c r="G22" i="17"/>
  <c r="F43" i="3" s="1"/>
  <c r="F22" i="17"/>
  <c r="E43" i="3" s="1"/>
  <c r="E22" i="17"/>
  <c r="D43" i="3" s="1"/>
  <c r="U15" i="17"/>
  <c r="T15" i="17"/>
  <c r="S15" i="17"/>
  <c r="R15" i="17"/>
  <c r="U14" i="17"/>
  <c r="T14" i="17"/>
  <c r="S14" i="17"/>
  <c r="U13" i="17"/>
  <c r="T13" i="17"/>
  <c r="S13" i="17"/>
  <c r="R13" i="17"/>
  <c r="U12" i="17"/>
  <c r="T12" i="17"/>
  <c r="S12" i="17"/>
  <c r="R12" i="17"/>
  <c r="U11" i="17"/>
  <c r="T11" i="17"/>
  <c r="S11" i="17"/>
  <c r="R11" i="17"/>
  <c r="U9" i="17"/>
  <c r="T9" i="17"/>
  <c r="S9" i="17"/>
  <c r="R9" i="17"/>
  <c r="U8" i="17"/>
  <c r="T8" i="17"/>
  <c r="S8" i="17"/>
  <c r="R8" i="17"/>
  <c r="U7" i="17"/>
  <c r="T7" i="17"/>
  <c r="S7" i="17"/>
  <c r="R7" i="17"/>
  <c r="F5" i="17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O14" i="16"/>
  <c r="O42" i="3" s="1"/>
  <c r="N14" i="16"/>
  <c r="N42" i="3" s="1"/>
  <c r="M14" i="16"/>
  <c r="M42" i="3" s="1"/>
  <c r="L14" i="16"/>
  <c r="L42" i="3" s="1"/>
  <c r="K14" i="16"/>
  <c r="K42" i="3" s="1"/>
  <c r="J14" i="16"/>
  <c r="J42" i="3" s="1"/>
  <c r="I14" i="16"/>
  <c r="I42" i="3" s="1"/>
  <c r="H14" i="16"/>
  <c r="H42" i="3" s="1"/>
  <c r="G14" i="16"/>
  <c r="G42" i="3" s="1"/>
  <c r="F14" i="16"/>
  <c r="F42" i="3" s="1"/>
  <c r="E14" i="16"/>
  <c r="E42" i="3" s="1"/>
  <c r="D14" i="16"/>
  <c r="D42" i="3" s="1"/>
  <c r="T13" i="16"/>
  <c r="S13" i="16"/>
  <c r="R13" i="16"/>
  <c r="Q13" i="16"/>
  <c r="T12" i="16"/>
  <c r="S12" i="16"/>
  <c r="R12" i="16"/>
  <c r="Q12" i="16"/>
  <c r="T11" i="16"/>
  <c r="S11" i="16"/>
  <c r="R11" i="16"/>
  <c r="Q11" i="16"/>
  <c r="T10" i="16"/>
  <c r="S10" i="16"/>
  <c r="R10" i="16"/>
  <c r="Q10" i="16"/>
  <c r="T9" i="16"/>
  <c r="S9" i="16"/>
  <c r="R9" i="16"/>
  <c r="Q9" i="16"/>
  <c r="T8" i="16"/>
  <c r="S8" i="16"/>
  <c r="R8" i="16"/>
  <c r="Q8" i="16"/>
  <c r="T7" i="16"/>
  <c r="S7" i="16"/>
  <c r="R7" i="16"/>
  <c r="Q7" i="16"/>
  <c r="E5" i="16"/>
  <c r="F5" i="16" s="1"/>
  <c r="G5" i="16" s="1"/>
  <c r="H5" i="16" s="1"/>
  <c r="I5" i="16" s="1"/>
  <c r="J5" i="16" s="1"/>
  <c r="K5" i="16" s="1"/>
  <c r="L5" i="16" s="1"/>
  <c r="M5" i="16" s="1"/>
  <c r="N5" i="16" s="1"/>
  <c r="O5" i="16" s="1"/>
  <c r="R30" i="14"/>
  <c r="R29" i="14"/>
  <c r="R28" i="14"/>
  <c r="R25" i="14"/>
  <c r="R24" i="14"/>
  <c r="R23" i="14"/>
  <c r="R22" i="14"/>
  <c r="R21" i="14"/>
  <c r="R20" i="14"/>
  <c r="R19" i="14"/>
  <c r="R18" i="14"/>
  <c r="R17" i="14"/>
  <c r="R16" i="14"/>
  <c r="R15" i="14"/>
  <c r="R14" i="14"/>
  <c r="R13" i="14"/>
  <c r="R12" i="14"/>
  <c r="R11" i="14"/>
  <c r="R10" i="14"/>
  <c r="R9" i="14"/>
  <c r="R8" i="14"/>
  <c r="U19" i="14"/>
  <c r="T19" i="14"/>
  <c r="S19" i="14"/>
  <c r="U18" i="14"/>
  <c r="T18" i="14"/>
  <c r="S18" i="14"/>
  <c r="U17" i="14"/>
  <c r="T17" i="14"/>
  <c r="S17" i="14"/>
  <c r="U16" i="14"/>
  <c r="T16" i="14"/>
  <c r="S16" i="14"/>
  <c r="U15" i="14"/>
  <c r="T15" i="14"/>
  <c r="S15" i="14"/>
  <c r="U14" i="14"/>
  <c r="T14" i="14"/>
  <c r="S14" i="14"/>
  <c r="U13" i="14"/>
  <c r="T13" i="14"/>
  <c r="S13" i="14"/>
  <c r="U29" i="14"/>
  <c r="T29" i="14"/>
  <c r="S29" i="14"/>
  <c r="U28" i="14"/>
  <c r="T28" i="14"/>
  <c r="S28" i="14"/>
  <c r="U25" i="14"/>
  <c r="T25" i="14"/>
  <c r="S25" i="14"/>
  <c r="U24" i="14"/>
  <c r="T24" i="14"/>
  <c r="S24" i="14"/>
  <c r="U23" i="14"/>
  <c r="T23" i="14"/>
  <c r="S23" i="14"/>
  <c r="U22" i="14"/>
  <c r="T22" i="14"/>
  <c r="S22" i="14"/>
  <c r="U21" i="14"/>
  <c r="T21" i="14"/>
  <c r="S21" i="14"/>
  <c r="U20" i="14"/>
  <c r="T20" i="14"/>
  <c r="S20" i="14"/>
  <c r="U12" i="14"/>
  <c r="T12" i="14"/>
  <c r="S12" i="14"/>
  <c r="U11" i="14"/>
  <c r="T11" i="14"/>
  <c r="S11" i="14"/>
  <c r="P31" i="14"/>
  <c r="O40" i="3" s="1"/>
  <c r="O31" i="14"/>
  <c r="N40" i="3" s="1"/>
  <c r="N31" i="14"/>
  <c r="M40" i="3" s="1"/>
  <c r="M31" i="14"/>
  <c r="L40" i="3" s="1"/>
  <c r="L31" i="14"/>
  <c r="K40" i="3" s="1"/>
  <c r="K31" i="14"/>
  <c r="J40" i="3" s="1"/>
  <c r="J31" i="14"/>
  <c r="I40" i="3" s="1"/>
  <c r="I31" i="14"/>
  <c r="H40" i="3" s="1"/>
  <c r="H31" i="14"/>
  <c r="G40" i="3" s="1"/>
  <c r="G31" i="14"/>
  <c r="F40" i="3" s="1"/>
  <c r="F31" i="14"/>
  <c r="E40" i="3" s="1"/>
  <c r="E31" i="14"/>
  <c r="D40" i="3" s="1"/>
  <c r="U30" i="14"/>
  <c r="T30" i="14"/>
  <c r="S30" i="14"/>
  <c r="U10" i="14"/>
  <c r="T10" i="14"/>
  <c r="S10" i="14"/>
  <c r="U9" i="14"/>
  <c r="T9" i="14"/>
  <c r="S9" i="14"/>
  <c r="U8" i="14"/>
  <c r="T8" i="14"/>
  <c r="S8" i="14"/>
  <c r="U7" i="14"/>
  <c r="T7" i="14"/>
  <c r="S7" i="14"/>
  <c r="R7" i="14"/>
  <c r="F5" i="14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R9" i="15"/>
  <c r="S9" i="15"/>
  <c r="T9" i="15"/>
  <c r="U9" i="15"/>
  <c r="U11" i="15"/>
  <c r="T11" i="15"/>
  <c r="S11" i="15"/>
  <c r="R11" i="15"/>
  <c r="U10" i="15"/>
  <c r="T10" i="15"/>
  <c r="S10" i="15"/>
  <c r="R10" i="15"/>
  <c r="U8" i="15"/>
  <c r="T8" i="15"/>
  <c r="S8" i="15"/>
  <c r="R8" i="15"/>
  <c r="U7" i="15"/>
  <c r="T7" i="15"/>
  <c r="S7" i="15"/>
  <c r="R7" i="15"/>
  <c r="P12" i="15"/>
  <c r="O41" i="3" s="1"/>
  <c r="O12" i="15"/>
  <c r="N41" i="3" s="1"/>
  <c r="N12" i="15"/>
  <c r="M41" i="3" s="1"/>
  <c r="M12" i="15"/>
  <c r="L41" i="3" s="1"/>
  <c r="L12" i="15"/>
  <c r="K41" i="3" s="1"/>
  <c r="K12" i="15"/>
  <c r="J41" i="3" s="1"/>
  <c r="J12" i="15"/>
  <c r="I41" i="3" s="1"/>
  <c r="I12" i="15"/>
  <c r="H41" i="3" s="1"/>
  <c r="H12" i="15"/>
  <c r="G41" i="3" s="1"/>
  <c r="G12" i="15"/>
  <c r="F41" i="3" s="1"/>
  <c r="F12" i="15"/>
  <c r="E41" i="3" s="1"/>
  <c r="E12" i="15"/>
  <c r="D41" i="3" s="1"/>
  <c r="F5" i="15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R9" i="13"/>
  <c r="R8" i="13"/>
  <c r="R7" i="13"/>
  <c r="U8" i="13"/>
  <c r="T8" i="13"/>
  <c r="S8" i="13"/>
  <c r="F5" i="13"/>
  <c r="I19" i="12"/>
  <c r="I18" i="12"/>
  <c r="I17" i="12"/>
  <c r="I16" i="12"/>
  <c r="I15" i="12"/>
  <c r="I14" i="12"/>
  <c r="I13" i="12"/>
  <c r="I12" i="12"/>
  <c r="I11" i="12"/>
  <c r="I9" i="12"/>
  <c r="I8" i="12"/>
  <c r="J5" i="12"/>
  <c r="J7" i="12" s="1"/>
  <c r="Q16" i="10"/>
  <c r="P16" i="10"/>
  <c r="O16" i="10"/>
  <c r="N16" i="10"/>
  <c r="M16" i="10"/>
  <c r="L16" i="10"/>
  <c r="K16" i="10"/>
  <c r="J16" i="10"/>
  <c r="I16" i="10"/>
  <c r="H16" i="10"/>
  <c r="G16" i="10"/>
  <c r="F16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Q9" i="10"/>
  <c r="P9" i="10"/>
  <c r="O9" i="10"/>
  <c r="N9" i="10"/>
  <c r="M9" i="10"/>
  <c r="L9" i="10"/>
  <c r="K9" i="10"/>
  <c r="J9" i="10"/>
  <c r="I9" i="10"/>
  <c r="H9" i="10"/>
  <c r="G9" i="10"/>
  <c r="Q8" i="10"/>
  <c r="P8" i="10"/>
  <c r="O8" i="10"/>
  <c r="N8" i="10"/>
  <c r="M8" i="10"/>
  <c r="L8" i="10"/>
  <c r="K8" i="10"/>
  <c r="J8" i="10"/>
  <c r="I8" i="10"/>
  <c r="H8" i="10"/>
  <c r="G8" i="10"/>
  <c r="F8" i="10"/>
  <c r="Q7" i="10"/>
  <c r="P7" i="10"/>
  <c r="O7" i="10"/>
  <c r="N7" i="10"/>
  <c r="M7" i="10"/>
  <c r="L7" i="10"/>
  <c r="K7" i="10"/>
  <c r="J7" i="10"/>
  <c r="I7" i="10"/>
  <c r="H7" i="10"/>
  <c r="G7" i="10"/>
  <c r="F7" i="10"/>
  <c r="G5" i="10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V30" i="6"/>
  <c r="Q30" i="6"/>
  <c r="T26" i="6"/>
  <c r="S26" i="6"/>
  <c r="R26" i="6"/>
  <c r="Q26" i="6"/>
  <c r="T25" i="6"/>
  <c r="S25" i="6"/>
  <c r="R25" i="6"/>
  <c r="Q25" i="6"/>
  <c r="T24" i="6"/>
  <c r="T27" i="6" s="1"/>
  <c r="S24" i="6"/>
  <c r="R24" i="6"/>
  <c r="Q24" i="6"/>
  <c r="O27" i="6"/>
  <c r="N27" i="6"/>
  <c r="M27" i="6"/>
  <c r="L27" i="6"/>
  <c r="K27" i="6"/>
  <c r="J27" i="6"/>
  <c r="I27" i="6"/>
  <c r="H27" i="6"/>
  <c r="G27" i="6"/>
  <c r="F27" i="6"/>
  <c r="E27" i="6"/>
  <c r="D27" i="6"/>
  <c r="T11" i="6"/>
  <c r="S11" i="6"/>
  <c r="R11" i="6"/>
  <c r="Q11" i="6"/>
  <c r="T12" i="6"/>
  <c r="S12" i="6"/>
  <c r="R12" i="6"/>
  <c r="Q12" i="6"/>
  <c r="T20" i="6"/>
  <c r="S20" i="6"/>
  <c r="R20" i="6"/>
  <c r="Q20" i="6"/>
  <c r="T19" i="6"/>
  <c r="S19" i="6"/>
  <c r="R19" i="6"/>
  <c r="Q19" i="6"/>
  <c r="V19" i="6" s="1"/>
  <c r="S21" i="6"/>
  <c r="O21" i="6"/>
  <c r="N21" i="6"/>
  <c r="M21" i="6"/>
  <c r="L21" i="6"/>
  <c r="K21" i="6"/>
  <c r="J21" i="6"/>
  <c r="I21" i="6"/>
  <c r="H21" i="6"/>
  <c r="G21" i="6"/>
  <c r="F21" i="6"/>
  <c r="E21" i="6"/>
  <c r="D21" i="6"/>
  <c r="T15" i="6"/>
  <c r="S15" i="6"/>
  <c r="R15" i="6"/>
  <c r="Q15" i="6"/>
  <c r="T13" i="6"/>
  <c r="S13" i="6"/>
  <c r="R13" i="6"/>
  <c r="Q13" i="6"/>
  <c r="E5" i="6"/>
  <c r="F5" i="6" s="1"/>
  <c r="G5" i="6" s="1"/>
  <c r="H5" i="6" s="1"/>
  <c r="I5" i="6" s="1"/>
  <c r="J5" i="6" s="1"/>
  <c r="K5" i="6" s="1"/>
  <c r="L5" i="6" s="1"/>
  <c r="M5" i="6" s="1"/>
  <c r="N5" i="6" s="1"/>
  <c r="O5" i="6" s="1"/>
  <c r="T47" i="3"/>
  <c r="S47" i="3"/>
  <c r="R47" i="3"/>
  <c r="Q47" i="3"/>
  <c r="E5" i="3"/>
  <c r="F5" i="3" s="1"/>
  <c r="G5" i="3" s="1"/>
  <c r="H5" i="3" s="1"/>
  <c r="I5" i="3" s="1"/>
  <c r="J5" i="3" s="1"/>
  <c r="K5" i="3" s="1"/>
  <c r="L5" i="3" s="1"/>
  <c r="M5" i="3" s="1"/>
  <c r="N5" i="3" s="1"/>
  <c r="O5" i="3" s="1"/>
  <c r="K5" i="12" l="1"/>
  <c r="K7" i="12" s="1"/>
  <c r="V7" i="12" s="1"/>
  <c r="J10" i="12"/>
  <c r="W9" i="15"/>
  <c r="E33" i="20"/>
  <c r="E32" i="20"/>
  <c r="E31" i="20"/>
  <c r="E30" i="20"/>
  <c r="E27" i="20"/>
  <c r="E26" i="20"/>
  <c r="E25" i="20"/>
  <c r="E24" i="20"/>
  <c r="F33" i="20"/>
  <c r="F32" i="20"/>
  <c r="F31" i="20"/>
  <c r="F30" i="20"/>
  <c r="F27" i="20"/>
  <c r="F26" i="20"/>
  <c r="F25" i="20"/>
  <c r="F24" i="20"/>
  <c r="G33" i="20"/>
  <c r="G32" i="20"/>
  <c r="G31" i="20"/>
  <c r="G30" i="20"/>
  <c r="G27" i="20"/>
  <c r="G26" i="20"/>
  <c r="G25" i="20"/>
  <c r="G24" i="20"/>
  <c r="H33" i="20"/>
  <c r="H32" i="20"/>
  <c r="H31" i="20"/>
  <c r="H30" i="20"/>
  <c r="H27" i="20"/>
  <c r="H26" i="20"/>
  <c r="H25" i="20"/>
  <c r="H24" i="20"/>
  <c r="I33" i="20"/>
  <c r="I32" i="20"/>
  <c r="I31" i="20"/>
  <c r="I30" i="20"/>
  <c r="I27" i="20"/>
  <c r="I26" i="20"/>
  <c r="I25" i="20"/>
  <c r="I24" i="20"/>
  <c r="J33" i="20"/>
  <c r="J32" i="20"/>
  <c r="J31" i="20"/>
  <c r="J30" i="20"/>
  <c r="J27" i="20"/>
  <c r="J26" i="20"/>
  <c r="J25" i="20"/>
  <c r="J24" i="20"/>
  <c r="K33" i="20"/>
  <c r="K32" i="20"/>
  <c r="K31" i="20"/>
  <c r="K30" i="20"/>
  <c r="K27" i="20"/>
  <c r="K26" i="20"/>
  <c r="K25" i="20"/>
  <c r="K24" i="20"/>
  <c r="L33" i="20"/>
  <c r="L32" i="20"/>
  <c r="L31" i="20"/>
  <c r="L30" i="20"/>
  <c r="L27" i="20"/>
  <c r="L26" i="20"/>
  <c r="L25" i="20"/>
  <c r="L24" i="20"/>
  <c r="M33" i="20"/>
  <c r="M32" i="20"/>
  <c r="M31" i="20"/>
  <c r="M30" i="20"/>
  <c r="M27" i="20"/>
  <c r="M26" i="20"/>
  <c r="M25" i="20"/>
  <c r="M24" i="20"/>
  <c r="N33" i="20"/>
  <c r="N32" i="20"/>
  <c r="N31" i="20"/>
  <c r="N30" i="20"/>
  <c r="N27" i="20"/>
  <c r="N26" i="20"/>
  <c r="N25" i="20"/>
  <c r="N24" i="20"/>
  <c r="O33" i="20"/>
  <c r="O32" i="20"/>
  <c r="O31" i="20"/>
  <c r="O30" i="20"/>
  <c r="O27" i="20"/>
  <c r="O26" i="20"/>
  <c r="O25" i="20"/>
  <c r="O24" i="20"/>
  <c r="P33" i="20"/>
  <c r="P32" i="20"/>
  <c r="P31" i="20"/>
  <c r="P30" i="20"/>
  <c r="P27" i="20"/>
  <c r="P26" i="20"/>
  <c r="P25" i="20"/>
  <c r="P24" i="20"/>
  <c r="Q25" i="10"/>
  <c r="I25" i="10"/>
  <c r="V7" i="18"/>
  <c r="U8" i="18"/>
  <c r="T9" i="18"/>
  <c r="V15" i="18"/>
  <c r="S9" i="18"/>
  <c r="V10" i="18"/>
  <c r="S13" i="18"/>
  <c r="V14" i="18"/>
  <c r="U15" i="18"/>
  <c r="U11" i="18"/>
  <c r="T12" i="18"/>
  <c r="S11" i="18"/>
  <c r="V11" i="18"/>
  <c r="U12" i="18"/>
  <c r="S14" i="18"/>
  <c r="S7" i="18"/>
  <c r="S15" i="18"/>
  <c r="V12" i="18"/>
  <c r="U13" i="18"/>
  <c r="T14" i="18"/>
  <c r="S10" i="18"/>
  <c r="V8" i="18"/>
  <c r="U9" i="18"/>
  <c r="T10" i="18"/>
  <c r="S12" i="18"/>
  <c r="T13" i="18"/>
  <c r="U7" i="18"/>
  <c r="T8" i="18"/>
  <c r="V9" i="18"/>
  <c r="U10" i="18"/>
  <c r="T11" i="18"/>
  <c r="P6" i="1"/>
  <c r="P7" i="1"/>
  <c r="T9" i="6"/>
  <c r="K8" i="12"/>
  <c r="K14" i="12"/>
  <c r="J17" i="12"/>
  <c r="J12" i="12"/>
  <c r="K17" i="12"/>
  <c r="J8" i="12"/>
  <c r="J14" i="12"/>
  <c r="K15" i="12"/>
  <c r="K11" i="12"/>
  <c r="J13" i="12"/>
  <c r="K18" i="12"/>
  <c r="J9" i="12"/>
  <c r="K12" i="12"/>
  <c r="J15" i="12"/>
  <c r="V15" i="12" s="1"/>
  <c r="K9" i="12"/>
  <c r="J11" i="12"/>
  <c r="J18" i="12"/>
  <c r="K13" i="12"/>
  <c r="J16" i="12"/>
  <c r="K19" i="12"/>
  <c r="K16" i="12"/>
  <c r="J19" i="12"/>
  <c r="Q41" i="3"/>
  <c r="N25" i="10"/>
  <c r="K25" i="10"/>
  <c r="O25" i="10"/>
  <c r="L25" i="10"/>
  <c r="M25" i="10"/>
  <c r="P25" i="10"/>
  <c r="J25" i="10"/>
  <c r="P8" i="1"/>
  <c r="W11" i="3" s="1"/>
  <c r="P5" i="1"/>
  <c r="T21" i="6"/>
  <c r="R21" i="6"/>
  <c r="V25" i="6"/>
  <c r="V7" i="21"/>
  <c r="X27" i="18"/>
  <c r="Q9" i="6"/>
  <c r="T40" i="3"/>
  <c r="Q40" i="3"/>
  <c r="S9" i="6"/>
  <c r="T41" i="3"/>
  <c r="S43" i="3"/>
  <c r="S40" i="3"/>
  <c r="Q42" i="3"/>
  <c r="T42" i="3"/>
  <c r="Q43" i="3"/>
  <c r="T43" i="3"/>
  <c r="R9" i="6"/>
  <c r="R42" i="3"/>
  <c r="R43" i="3"/>
  <c r="S41" i="3"/>
  <c r="R40" i="3"/>
  <c r="S42" i="3"/>
  <c r="R41" i="3"/>
  <c r="S27" i="6"/>
  <c r="R27" i="6"/>
  <c r="G16" i="18"/>
  <c r="G20" i="18" s="1"/>
  <c r="O16" i="18"/>
  <c r="O20" i="18" s="1"/>
  <c r="L16" i="18"/>
  <c r="L20" i="18" s="1"/>
  <c r="J16" i="18"/>
  <c r="J20" i="18" s="1"/>
  <c r="K16" i="18"/>
  <c r="K20" i="18" s="1"/>
  <c r="M16" i="18"/>
  <c r="M20" i="18" s="1"/>
  <c r="F16" i="18"/>
  <c r="F20" i="18" s="1"/>
  <c r="N16" i="18"/>
  <c r="N20" i="18" s="1"/>
  <c r="H16" i="18"/>
  <c r="H20" i="18" s="1"/>
  <c r="P16" i="18"/>
  <c r="P20" i="18" s="1"/>
  <c r="I16" i="18"/>
  <c r="I20" i="18" s="1"/>
  <c r="Q16" i="18"/>
  <c r="Q20" i="18" s="1"/>
  <c r="R8" i="20"/>
  <c r="U8" i="20"/>
  <c r="T8" i="20"/>
  <c r="W7" i="20"/>
  <c r="S8" i="20"/>
  <c r="W10" i="17"/>
  <c r="W21" i="17"/>
  <c r="W18" i="17"/>
  <c r="W20" i="17"/>
  <c r="W17" i="17"/>
  <c r="W19" i="17"/>
  <c r="W16" i="17"/>
  <c r="W11" i="17"/>
  <c r="W9" i="17"/>
  <c r="W13" i="17"/>
  <c r="W8" i="17"/>
  <c r="T10" i="10"/>
  <c r="T12" i="10"/>
  <c r="U11" i="10"/>
  <c r="U13" i="10"/>
  <c r="V9" i="10"/>
  <c r="V11" i="10"/>
  <c r="V13" i="10"/>
  <c r="V15" i="10"/>
  <c r="T11" i="10"/>
  <c r="S12" i="10"/>
  <c r="S10" i="10"/>
  <c r="V10" i="10"/>
  <c r="V12" i="10"/>
  <c r="S16" i="10"/>
  <c r="V16" i="10"/>
  <c r="S11" i="10"/>
  <c r="S13" i="10"/>
  <c r="S15" i="10"/>
  <c r="U15" i="10"/>
  <c r="U10" i="10"/>
  <c r="U12" i="10"/>
  <c r="T13" i="10"/>
  <c r="U16" i="10"/>
  <c r="T16" i="10"/>
  <c r="T15" i="10"/>
  <c r="W15" i="17"/>
  <c r="T22" i="17"/>
  <c r="W14" i="17"/>
  <c r="W7" i="17"/>
  <c r="U22" i="17"/>
  <c r="S22" i="17"/>
  <c r="W12" i="17"/>
  <c r="R22" i="17"/>
  <c r="V10" i="16"/>
  <c r="V13" i="16"/>
  <c r="V9" i="16"/>
  <c r="T14" i="16"/>
  <c r="V8" i="16"/>
  <c r="V12" i="16"/>
  <c r="Q14" i="16"/>
  <c r="R14" i="16"/>
  <c r="S14" i="16"/>
  <c r="V11" i="16"/>
  <c r="V7" i="16"/>
  <c r="W17" i="14"/>
  <c r="W16" i="14"/>
  <c r="W19" i="14"/>
  <c r="W18" i="14"/>
  <c r="W14" i="14"/>
  <c r="W13" i="14"/>
  <c r="W15" i="14"/>
  <c r="W23" i="14"/>
  <c r="W24" i="14"/>
  <c r="W28" i="14"/>
  <c r="W22" i="14"/>
  <c r="W21" i="14"/>
  <c r="W12" i="14"/>
  <c r="W29" i="14"/>
  <c r="W11" i="14"/>
  <c r="W20" i="14"/>
  <c r="W25" i="14"/>
  <c r="W30" i="14"/>
  <c r="W10" i="14"/>
  <c r="S31" i="14"/>
  <c r="T31" i="14"/>
  <c r="U31" i="14"/>
  <c r="W8" i="14"/>
  <c r="W7" i="14"/>
  <c r="W9" i="14"/>
  <c r="R31" i="14"/>
  <c r="W10" i="15"/>
  <c r="W8" i="15"/>
  <c r="W11" i="15"/>
  <c r="W7" i="15"/>
  <c r="U12" i="15"/>
  <c r="T12" i="15"/>
  <c r="S12" i="15"/>
  <c r="R12" i="15"/>
  <c r="W8" i="13"/>
  <c r="E10" i="13"/>
  <c r="D39" i="3" s="1"/>
  <c r="G5" i="13"/>
  <c r="V8" i="12"/>
  <c r="I20" i="12"/>
  <c r="V14" i="10"/>
  <c r="V8" i="10"/>
  <c r="U7" i="10"/>
  <c r="U9" i="10"/>
  <c r="T8" i="10"/>
  <c r="T14" i="10"/>
  <c r="S9" i="10"/>
  <c r="L17" i="10"/>
  <c r="U8" i="10"/>
  <c r="U14" i="10"/>
  <c r="S7" i="10"/>
  <c r="T9" i="10"/>
  <c r="K17" i="10"/>
  <c r="S8" i="10"/>
  <c r="S14" i="10"/>
  <c r="T7" i="10"/>
  <c r="M17" i="10"/>
  <c r="F17" i="10"/>
  <c r="N17" i="10"/>
  <c r="V7" i="10"/>
  <c r="G17" i="10"/>
  <c r="O17" i="10"/>
  <c r="H17" i="10"/>
  <c r="P17" i="10"/>
  <c r="I17" i="10"/>
  <c r="Q17" i="10"/>
  <c r="J17" i="10"/>
  <c r="V20" i="6"/>
  <c r="V21" i="6" s="1"/>
  <c r="V11" i="6"/>
  <c r="V12" i="6"/>
  <c r="V24" i="6"/>
  <c r="V26" i="6"/>
  <c r="Q27" i="6"/>
  <c r="Q21" i="6"/>
  <c r="V47" i="3"/>
  <c r="V15" i="6"/>
  <c r="V13" i="6"/>
  <c r="M5" i="1"/>
  <c r="L5" i="1"/>
  <c r="K5" i="1"/>
  <c r="L5" i="12" l="1"/>
  <c r="L7" i="12" s="1"/>
  <c r="K10" i="12"/>
  <c r="V10" i="12" s="1"/>
  <c r="V11" i="12"/>
  <c r="J27" i="10"/>
  <c r="Q27" i="10"/>
  <c r="I27" i="10"/>
  <c r="P27" i="10"/>
  <c r="H27" i="10"/>
  <c r="O27" i="10"/>
  <c r="V27" i="10" s="1"/>
  <c r="G27" i="10"/>
  <c r="N27" i="10"/>
  <c r="F27" i="10"/>
  <c r="S27" i="10" s="1"/>
  <c r="M27" i="10"/>
  <c r="K27" i="10"/>
  <c r="L27" i="10"/>
  <c r="U27" i="10" s="1"/>
  <c r="Q49" i="18"/>
  <c r="Q48" i="18"/>
  <c r="Q47" i="18"/>
  <c r="Q46" i="18"/>
  <c r="I48" i="18"/>
  <c r="I49" i="18"/>
  <c r="I47" i="18"/>
  <c r="I46" i="18"/>
  <c r="P49" i="18"/>
  <c r="P48" i="18"/>
  <c r="P47" i="18"/>
  <c r="P46" i="18"/>
  <c r="H49" i="18"/>
  <c r="H48" i="18"/>
  <c r="H47" i="18"/>
  <c r="H46" i="18"/>
  <c r="N49" i="18"/>
  <c r="N48" i="18"/>
  <c r="N47" i="18"/>
  <c r="N46" i="18"/>
  <c r="F47" i="18"/>
  <c r="F48" i="18"/>
  <c r="F49" i="18"/>
  <c r="F46" i="18"/>
  <c r="M48" i="18"/>
  <c r="M49" i="18"/>
  <c r="M47" i="18"/>
  <c r="M46" i="18"/>
  <c r="M50" i="18" s="1"/>
  <c r="K49" i="18"/>
  <c r="K48" i="18"/>
  <c r="K47" i="18"/>
  <c r="K46" i="18"/>
  <c r="J49" i="18"/>
  <c r="J48" i="18"/>
  <c r="J47" i="18"/>
  <c r="J46" i="18"/>
  <c r="L48" i="18"/>
  <c r="U48" i="18" s="1"/>
  <c r="L49" i="18"/>
  <c r="U49" i="18" s="1"/>
  <c r="L47" i="18"/>
  <c r="U47" i="18" s="1"/>
  <c r="L46" i="18"/>
  <c r="O48" i="18"/>
  <c r="V48" i="18" s="1"/>
  <c r="O49" i="18"/>
  <c r="V49" i="18" s="1"/>
  <c r="O46" i="18"/>
  <c r="V46" i="18" s="1"/>
  <c r="O47" i="18"/>
  <c r="V47" i="18" s="1"/>
  <c r="G49" i="18"/>
  <c r="G48" i="18"/>
  <c r="S48" i="18" s="1"/>
  <c r="G46" i="18"/>
  <c r="G47" i="18"/>
  <c r="T25" i="10"/>
  <c r="W13" i="3"/>
  <c r="O43" i="21"/>
  <c r="P20" i="23" s="1"/>
  <c r="K43" i="21"/>
  <c r="L20" i="23" s="1"/>
  <c r="I43" i="21"/>
  <c r="J20" i="23" s="1"/>
  <c r="E43" i="21"/>
  <c r="F20" i="23" s="1"/>
  <c r="G43" i="21"/>
  <c r="L43" i="21"/>
  <c r="M20" i="23" s="1"/>
  <c r="N43" i="21"/>
  <c r="O20" i="23" s="1"/>
  <c r="J43" i="21"/>
  <c r="M43" i="21"/>
  <c r="F43" i="21"/>
  <c r="G20" i="23" s="1"/>
  <c r="D43" i="21"/>
  <c r="H43" i="21"/>
  <c r="I20" i="23" s="1"/>
  <c r="J37" i="21"/>
  <c r="D37" i="21"/>
  <c r="O37" i="21"/>
  <c r="M37" i="21"/>
  <c r="G37" i="21"/>
  <c r="L37" i="21"/>
  <c r="I37" i="21"/>
  <c r="E37" i="21"/>
  <c r="F37" i="21"/>
  <c r="N37" i="21"/>
  <c r="K37" i="21"/>
  <c r="H37" i="21"/>
  <c r="D38" i="21"/>
  <c r="D44" i="21"/>
  <c r="I44" i="21"/>
  <c r="M44" i="21"/>
  <c r="H38" i="21"/>
  <c r="O38" i="21"/>
  <c r="J44" i="21"/>
  <c r="I38" i="21"/>
  <c r="G44" i="21"/>
  <c r="J38" i="21"/>
  <c r="E38" i="21"/>
  <c r="H44" i="21"/>
  <c r="F44" i="21"/>
  <c r="N44" i="21"/>
  <c r="N38" i="21"/>
  <c r="G38" i="21"/>
  <c r="L38" i="21"/>
  <c r="L44" i="21"/>
  <c r="F38" i="21"/>
  <c r="E44" i="21"/>
  <c r="K44" i="21"/>
  <c r="M38" i="21"/>
  <c r="K38" i="21"/>
  <c r="O44" i="21"/>
  <c r="D39" i="21"/>
  <c r="D45" i="21"/>
  <c r="F39" i="21"/>
  <c r="N39" i="21"/>
  <c r="G45" i="21"/>
  <c r="D46" i="21"/>
  <c r="J45" i="21"/>
  <c r="G39" i="21"/>
  <c r="L39" i="21"/>
  <c r="F45" i="21"/>
  <c r="O39" i="21"/>
  <c r="K45" i="21"/>
  <c r="I39" i="21"/>
  <c r="O45" i="21"/>
  <c r="M39" i="21"/>
  <c r="N45" i="21"/>
  <c r="M45" i="21"/>
  <c r="K39" i="21"/>
  <c r="L45" i="21"/>
  <c r="H39" i="21"/>
  <c r="H45" i="21"/>
  <c r="J39" i="21"/>
  <c r="E39" i="21"/>
  <c r="I45" i="21"/>
  <c r="E45" i="21"/>
  <c r="J40" i="21"/>
  <c r="D40" i="21"/>
  <c r="M40" i="21"/>
  <c r="I40" i="21"/>
  <c r="L40" i="21"/>
  <c r="G46" i="21"/>
  <c r="F40" i="21"/>
  <c r="H46" i="21"/>
  <c r="F46" i="21"/>
  <c r="M46" i="21"/>
  <c r="O46" i="21"/>
  <c r="L46" i="21"/>
  <c r="E46" i="21"/>
  <c r="N46" i="21"/>
  <c r="O40" i="21"/>
  <c r="K40" i="21"/>
  <c r="N40" i="21"/>
  <c r="J46" i="21"/>
  <c r="G40" i="21"/>
  <c r="K46" i="21"/>
  <c r="E40" i="21"/>
  <c r="I46" i="21"/>
  <c r="H40" i="21"/>
  <c r="S33" i="20"/>
  <c r="R31" i="20"/>
  <c r="T32" i="20"/>
  <c r="S31" i="20"/>
  <c r="U31" i="20"/>
  <c r="R30" i="20"/>
  <c r="U32" i="20"/>
  <c r="T31" i="20"/>
  <c r="S32" i="20"/>
  <c r="U33" i="20"/>
  <c r="H34" i="20"/>
  <c r="U30" i="20"/>
  <c r="L34" i="20"/>
  <c r="T30" i="20"/>
  <c r="G34" i="20"/>
  <c r="N34" i="20"/>
  <c r="O34" i="20"/>
  <c r="I34" i="20"/>
  <c r="E34" i="20"/>
  <c r="M34" i="20"/>
  <c r="J34" i="20"/>
  <c r="R33" i="20"/>
  <c r="P34" i="20"/>
  <c r="S30" i="20"/>
  <c r="R32" i="20"/>
  <c r="T33" i="20"/>
  <c r="F34" i="20"/>
  <c r="K34" i="20"/>
  <c r="S26" i="20"/>
  <c r="T26" i="20"/>
  <c r="S27" i="20"/>
  <c r="R26" i="20"/>
  <c r="U25" i="20"/>
  <c r="F28" i="20"/>
  <c r="F37" i="20" s="1"/>
  <c r="U27" i="20"/>
  <c r="R25" i="20"/>
  <c r="T25" i="20"/>
  <c r="U24" i="20"/>
  <c r="T27" i="20"/>
  <c r="S24" i="20"/>
  <c r="R27" i="20"/>
  <c r="S25" i="20"/>
  <c r="U26" i="20"/>
  <c r="R24" i="20"/>
  <c r="T24" i="20"/>
  <c r="X14" i="18"/>
  <c r="X15" i="18"/>
  <c r="X13" i="18"/>
  <c r="X9" i="18"/>
  <c r="X8" i="18"/>
  <c r="V16" i="18"/>
  <c r="V20" i="18" s="1"/>
  <c r="T16" i="18"/>
  <c r="T20" i="18" s="1"/>
  <c r="X12" i="18"/>
  <c r="Q42" i="18"/>
  <c r="O20" i="3" s="1"/>
  <c r="Q43" i="18"/>
  <c r="O21" i="3" s="1"/>
  <c r="Q40" i="18"/>
  <c r="Q41" i="18"/>
  <c r="O19" i="3" s="1"/>
  <c r="J43" i="18"/>
  <c r="H21" i="3" s="1"/>
  <c r="J42" i="18"/>
  <c r="H20" i="3" s="1"/>
  <c r="J41" i="18"/>
  <c r="H19" i="3" s="1"/>
  <c r="J40" i="18"/>
  <c r="U16" i="18"/>
  <c r="U20" i="18" s="1"/>
  <c r="S16" i="18"/>
  <c r="S20" i="18" s="1"/>
  <c r="X7" i="18"/>
  <c r="I43" i="18"/>
  <c r="G21" i="3" s="1"/>
  <c r="I42" i="18"/>
  <c r="G20" i="3" s="1"/>
  <c r="I40" i="18"/>
  <c r="I41" i="18"/>
  <c r="G19" i="3" s="1"/>
  <c r="L43" i="18"/>
  <c r="J21" i="3" s="1"/>
  <c r="L42" i="18"/>
  <c r="J20" i="3" s="1"/>
  <c r="L40" i="18"/>
  <c r="L41" i="18"/>
  <c r="J19" i="3" s="1"/>
  <c r="X11" i="18"/>
  <c r="P43" i="18"/>
  <c r="N21" i="3" s="1"/>
  <c r="P42" i="18"/>
  <c r="N20" i="3" s="1"/>
  <c r="P40" i="18"/>
  <c r="P41" i="18"/>
  <c r="N19" i="3" s="1"/>
  <c r="G42" i="18"/>
  <c r="E20" i="3" s="1"/>
  <c r="G43" i="18"/>
  <c r="E21" i="3" s="1"/>
  <c r="G41" i="18"/>
  <c r="E19" i="3" s="1"/>
  <c r="G40" i="18"/>
  <c r="X10" i="18"/>
  <c r="N43" i="18"/>
  <c r="L21" i="3" s="1"/>
  <c r="N42" i="18"/>
  <c r="L20" i="3" s="1"/>
  <c r="N41" i="18"/>
  <c r="L19" i="3" s="1"/>
  <c r="N40" i="18"/>
  <c r="H43" i="18"/>
  <c r="F21" i="3" s="1"/>
  <c r="H42" i="18"/>
  <c r="F20" i="3" s="1"/>
  <c r="H41" i="18"/>
  <c r="F19" i="3" s="1"/>
  <c r="H40" i="18"/>
  <c r="M43" i="18"/>
  <c r="K21" i="3" s="1"/>
  <c r="M42" i="18"/>
  <c r="K20" i="3" s="1"/>
  <c r="M41" i="18"/>
  <c r="K19" i="3" s="1"/>
  <c r="M40" i="18"/>
  <c r="O42" i="18"/>
  <c r="M20" i="3" s="1"/>
  <c r="O43" i="18"/>
  <c r="M21" i="3" s="1"/>
  <c r="O41" i="18"/>
  <c r="M19" i="3" s="1"/>
  <c r="O40" i="18"/>
  <c r="F43" i="18"/>
  <c r="D21" i="3" s="1"/>
  <c r="F42" i="18"/>
  <c r="D20" i="3" s="1"/>
  <c r="F41" i="18"/>
  <c r="D19" i="3" s="1"/>
  <c r="F40" i="18"/>
  <c r="K42" i="18"/>
  <c r="I20" i="3" s="1"/>
  <c r="K43" i="18"/>
  <c r="I21" i="3" s="1"/>
  <c r="K40" i="18"/>
  <c r="K41" i="18"/>
  <c r="I19" i="3" s="1"/>
  <c r="G28" i="20"/>
  <c r="G37" i="20" s="1"/>
  <c r="E28" i="20"/>
  <c r="E37" i="20" s="1"/>
  <c r="V19" i="12"/>
  <c r="V18" i="12"/>
  <c r="V9" i="12"/>
  <c r="V16" i="12"/>
  <c r="V13" i="12"/>
  <c r="D38" i="3"/>
  <c r="J20" i="12"/>
  <c r="E38" i="3" s="1"/>
  <c r="K20" i="12"/>
  <c r="K23" i="12" s="1"/>
  <c r="V14" i="12"/>
  <c r="V12" i="12"/>
  <c r="V17" i="12"/>
  <c r="V25" i="10"/>
  <c r="U25" i="10"/>
  <c r="P28" i="20"/>
  <c r="I28" i="20"/>
  <c r="J28" i="20"/>
  <c r="J37" i="20" s="1"/>
  <c r="M28" i="20"/>
  <c r="M37" i="20" s="1"/>
  <c r="O28" i="20"/>
  <c r="N28" i="20"/>
  <c r="N37" i="20" s="1"/>
  <c r="L28" i="20"/>
  <c r="L37" i="20" s="1"/>
  <c r="H28" i="20"/>
  <c r="K28" i="20"/>
  <c r="K37" i="20" s="1"/>
  <c r="V40" i="3"/>
  <c r="W40" i="3" s="1"/>
  <c r="V43" i="3"/>
  <c r="W43" i="3" s="1"/>
  <c r="V41" i="3"/>
  <c r="W41" i="3" s="1"/>
  <c r="V9" i="6"/>
  <c r="V42" i="3"/>
  <c r="W42" i="3" s="1"/>
  <c r="V27" i="6"/>
  <c r="W8" i="20"/>
  <c r="W22" i="17"/>
  <c r="X16" i="10"/>
  <c r="X11" i="10"/>
  <c r="X13" i="10"/>
  <c r="X15" i="10"/>
  <c r="X10" i="10"/>
  <c r="X12" i="10"/>
  <c r="L22" i="10"/>
  <c r="L19" i="10"/>
  <c r="L29" i="10" s="1"/>
  <c r="O19" i="10"/>
  <c r="O22" i="10"/>
  <c r="G19" i="10"/>
  <c r="G22" i="10"/>
  <c r="H19" i="10"/>
  <c r="H22" i="10"/>
  <c r="J19" i="10"/>
  <c r="J22" i="10"/>
  <c r="N22" i="10"/>
  <c r="N19" i="10"/>
  <c r="N29" i="10" s="1"/>
  <c r="K22" i="10"/>
  <c r="K19" i="10"/>
  <c r="K29" i="10" s="1"/>
  <c r="Q22" i="10"/>
  <c r="Q19" i="10"/>
  <c r="Q29" i="10" s="1"/>
  <c r="F22" i="10"/>
  <c r="F19" i="10"/>
  <c r="F29" i="10" s="1"/>
  <c r="I19" i="10"/>
  <c r="I22" i="10"/>
  <c r="M22" i="10"/>
  <c r="M19" i="10"/>
  <c r="M29" i="10" s="1"/>
  <c r="P22" i="10"/>
  <c r="P19" i="10"/>
  <c r="P29" i="10" s="1"/>
  <c r="V14" i="16"/>
  <c r="W31" i="14"/>
  <c r="W12" i="15"/>
  <c r="F10" i="13"/>
  <c r="E39" i="3" s="1"/>
  <c r="H5" i="13"/>
  <c r="V17" i="10"/>
  <c r="X8" i="10"/>
  <c r="S17" i="10"/>
  <c r="X14" i="10"/>
  <c r="U17" i="10"/>
  <c r="X9" i="10"/>
  <c r="T17" i="10"/>
  <c r="X7" i="10"/>
  <c r="M5" i="12" l="1"/>
  <c r="M7" i="12" s="1"/>
  <c r="L10" i="12"/>
  <c r="L19" i="12"/>
  <c r="L8" i="12"/>
  <c r="L14" i="12"/>
  <c r="L16" i="12"/>
  <c r="L17" i="12"/>
  <c r="L12" i="12"/>
  <c r="L9" i="12"/>
  <c r="L15" i="12"/>
  <c r="L11" i="12"/>
  <c r="L18" i="12"/>
  <c r="L13" i="12"/>
  <c r="G50" i="18"/>
  <c r="U46" i="18"/>
  <c r="L50" i="18"/>
  <c r="J50" i="18"/>
  <c r="K50" i="18"/>
  <c r="H50" i="18"/>
  <c r="P50" i="18"/>
  <c r="Q50" i="18"/>
  <c r="I29" i="10"/>
  <c r="J29" i="10"/>
  <c r="H29" i="10"/>
  <c r="G29" i="10"/>
  <c r="O29" i="10"/>
  <c r="T27" i="10"/>
  <c r="X27" i="10" s="1"/>
  <c r="V50" i="18"/>
  <c r="O50" i="18"/>
  <c r="S46" i="18"/>
  <c r="F50" i="18"/>
  <c r="S49" i="18"/>
  <c r="S47" i="18"/>
  <c r="U50" i="18"/>
  <c r="N50" i="18"/>
  <c r="T46" i="18"/>
  <c r="T47" i="18"/>
  <c r="I50" i="18"/>
  <c r="T49" i="18"/>
  <c r="T48" i="18"/>
  <c r="X25" i="10"/>
  <c r="S46" i="21"/>
  <c r="O8" i="3"/>
  <c r="W12" i="3"/>
  <c r="W14" i="3" s="1"/>
  <c r="Q19" i="3"/>
  <c r="T20" i="3"/>
  <c r="Q21" i="3"/>
  <c r="O41" i="21"/>
  <c r="S19" i="3"/>
  <c r="S21" i="3"/>
  <c r="O9" i="3"/>
  <c r="O30" i="3" s="1"/>
  <c r="N41" i="21"/>
  <c r="T46" i="21"/>
  <c r="O10" i="3"/>
  <c r="O31" i="3" s="1"/>
  <c r="K41" i="21"/>
  <c r="Q44" i="21"/>
  <c r="L41" i="21"/>
  <c r="Q45" i="21"/>
  <c r="T21" i="3"/>
  <c r="R19" i="3"/>
  <c r="T44" i="21"/>
  <c r="R20" i="3"/>
  <c r="S20" i="3"/>
  <c r="R21" i="3"/>
  <c r="T19" i="3"/>
  <c r="R46" i="21"/>
  <c r="S44" i="21"/>
  <c r="Q20" i="3"/>
  <c r="F56" i="21"/>
  <c r="E9" i="3"/>
  <c r="E30" i="3" s="1"/>
  <c r="L55" i="21"/>
  <c r="K8" i="3"/>
  <c r="S45" i="21"/>
  <c r="G11" i="3"/>
  <c r="H58" i="21"/>
  <c r="R40" i="21"/>
  <c r="M11" i="3"/>
  <c r="N58" i="21"/>
  <c r="T40" i="21"/>
  <c r="H10" i="3"/>
  <c r="H31" i="3" s="1"/>
  <c r="I57" i="21"/>
  <c r="N10" i="3"/>
  <c r="N31" i="3" s="1"/>
  <c r="O57" i="21"/>
  <c r="I55" i="21"/>
  <c r="H8" i="3"/>
  <c r="N55" i="21"/>
  <c r="M8" i="3"/>
  <c r="T37" i="21"/>
  <c r="K20" i="23"/>
  <c r="T20" i="23" s="1"/>
  <c r="S43" i="21"/>
  <c r="D11" i="3"/>
  <c r="E58" i="21"/>
  <c r="Q40" i="21"/>
  <c r="O58" i="21"/>
  <c r="N11" i="3"/>
  <c r="N32" i="3" s="1"/>
  <c r="L57" i="21"/>
  <c r="K10" i="3"/>
  <c r="K31" i="3" s="1"/>
  <c r="K56" i="21"/>
  <c r="J9" i="3"/>
  <c r="S38" i="21"/>
  <c r="K11" i="3"/>
  <c r="K32" i="3" s="1"/>
  <c r="L58" i="21"/>
  <c r="T45" i="21"/>
  <c r="L10" i="3"/>
  <c r="L31" i="3" s="1"/>
  <c r="M57" i="21"/>
  <c r="D10" i="3"/>
  <c r="E57" i="21"/>
  <c r="Q39" i="21"/>
  <c r="M56" i="21"/>
  <c r="L9" i="3"/>
  <c r="L30" i="3" s="1"/>
  <c r="R44" i="21"/>
  <c r="E56" i="21"/>
  <c r="D9" i="3"/>
  <c r="Q38" i="21"/>
  <c r="G55" i="21"/>
  <c r="F8" i="3"/>
  <c r="K55" i="21"/>
  <c r="J8" i="3"/>
  <c r="S37" i="21"/>
  <c r="H20" i="23"/>
  <c r="S20" i="23" s="1"/>
  <c r="R43" i="21"/>
  <c r="G57" i="21"/>
  <c r="F10" i="3"/>
  <c r="F31" i="3" s="1"/>
  <c r="K58" i="21"/>
  <c r="J11" i="3"/>
  <c r="S40" i="21"/>
  <c r="O55" i="21"/>
  <c r="N8" i="3"/>
  <c r="D8" i="3"/>
  <c r="Q37" i="21"/>
  <c r="E55" i="21"/>
  <c r="H11" i="3"/>
  <c r="H32" i="3" s="1"/>
  <c r="I58" i="21"/>
  <c r="O11" i="3"/>
  <c r="O32" i="3" s="1"/>
  <c r="G58" i="21"/>
  <c r="F11" i="3"/>
  <c r="F32" i="3" s="1"/>
  <c r="H57" i="21"/>
  <c r="G10" i="3"/>
  <c r="R39" i="21"/>
  <c r="H56" i="21"/>
  <c r="G9" i="3"/>
  <c r="R38" i="21"/>
  <c r="J56" i="21"/>
  <c r="I9" i="3"/>
  <c r="I30" i="3" s="1"/>
  <c r="F55" i="21"/>
  <c r="E8" i="3"/>
  <c r="L56" i="21"/>
  <c r="K9" i="3"/>
  <c r="K30" i="3" s="1"/>
  <c r="O56" i="21"/>
  <c r="N9" i="3"/>
  <c r="N30" i="3" s="1"/>
  <c r="I8" i="3"/>
  <c r="J55" i="21"/>
  <c r="E20" i="23"/>
  <c r="R20" i="23" s="1"/>
  <c r="Q43" i="21"/>
  <c r="E11" i="3"/>
  <c r="E32" i="3" s="1"/>
  <c r="F58" i="21"/>
  <c r="Q46" i="21"/>
  <c r="L11" i="3"/>
  <c r="L32" i="3" s="1"/>
  <c r="M58" i="21"/>
  <c r="K57" i="21"/>
  <c r="J10" i="3"/>
  <c r="S39" i="21"/>
  <c r="N56" i="21"/>
  <c r="M9" i="3"/>
  <c r="T38" i="21"/>
  <c r="L8" i="3"/>
  <c r="M55" i="21"/>
  <c r="G56" i="21"/>
  <c r="F9" i="3"/>
  <c r="F30" i="3" s="1"/>
  <c r="E10" i="3"/>
  <c r="E31" i="3" s="1"/>
  <c r="F57" i="21"/>
  <c r="M10" i="3"/>
  <c r="N57" i="21"/>
  <c r="T39" i="21"/>
  <c r="I41" i="21"/>
  <c r="H41" i="21"/>
  <c r="I11" i="3"/>
  <c r="I32" i="3" s="1"/>
  <c r="J58" i="21"/>
  <c r="I10" i="3"/>
  <c r="I31" i="3" s="1"/>
  <c r="J57" i="21"/>
  <c r="R45" i="21"/>
  <c r="I56" i="21"/>
  <c r="H9" i="3"/>
  <c r="H30" i="3" s="1"/>
  <c r="H55" i="21"/>
  <c r="G8" i="3"/>
  <c r="R37" i="21"/>
  <c r="N20" i="23"/>
  <c r="U20" i="23" s="1"/>
  <c r="T43" i="21"/>
  <c r="G8" i="23"/>
  <c r="F50" i="21"/>
  <c r="P8" i="23"/>
  <c r="O50" i="21"/>
  <c r="H47" i="21"/>
  <c r="I9" i="23"/>
  <c r="F8" i="23"/>
  <c r="E50" i="21"/>
  <c r="E8" i="23"/>
  <c r="D50" i="21"/>
  <c r="K8" i="23"/>
  <c r="J50" i="21"/>
  <c r="G9" i="23"/>
  <c r="F47" i="21"/>
  <c r="L8" i="23"/>
  <c r="K50" i="21"/>
  <c r="N47" i="21"/>
  <c r="O9" i="23"/>
  <c r="O24" i="23"/>
  <c r="M47" i="21"/>
  <c r="N9" i="23"/>
  <c r="O8" i="23"/>
  <c r="N50" i="21"/>
  <c r="H8" i="23"/>
  <c r="G50" i="21"/>
  <c r="E9" i="23"/>
  <c r="D47" i="21"/>
  <c r="L47" i="21"/>
  <c r="M9" i="23"/>
  <c r="M24" i="23"/>
  <c r="G47" i="21"/>
  <c r="H9" i="23"/>
  <c r="K9" i="23"/>
  <c r="J47" i="21"/>
  <c r="N8" i="23"/>
  <c r="M50" i="21"/>
  <c r="K47" i="21"/>
  <c r="L24" i="23"/>
  <c r="L9" i="23"/>
  <c r="E41" i="21"/>
  <c r="E47" i="21"/>
  <c r="F9" i="23"/>
  <c r="F24" i="23"/>
  <c r="O47" i="21"/>
  <c r="P9" i="23"/>
  <c r="I47" i="21"/>
  <c r="J9" i="23"/>
  <c r="F41" i="21"/>
  <c r="M8" i="23"/>
  <c r="L50" i="21"/>
  <c r="J8" i="23"/>
  <c r="I50" i="21"/>
  <c r="I8" i="23"/>
  <c r="H50" i="21"/>
  <c r="H37" i="20"/>
  <c r="P37" i="20"/>
  <c r="I37" i="20"/>
  <c r="O37" i="20"/>
  <c r="W30" i="20"/>
  <c r="W31" i="20"/>
  <c r="R34" i="20"/>
  <c r="M36" i="20"/>
  <c r="S28" i="20"/>
  <c r="K36" i="20"/>
  <c r="I36" i="20"/>
  <c r="W32" i="20"/>
  <c r="H36" i="20"/>
  <c r="P36" i="20"/>
  <c r="T28" i="20"/>
  <c r="O36" i="20"/>
  <c r="F36" i="20"/>
  <c r="W33" i="20"/>
  <c r="S34" i="20"/>
  <c r="E36" i="20"/>
  <c r="N36" i="20"/>
  <c r="T34" i="20"/>
  <c r="J36" i="20"/>
  <c r="U34" i="20"/>
  <c r="L36" i="20"/>
  <c r="U28" i="20"/>
  <c r="R28" i="20"/>
  <c r="G36" i="20"/>
  <c r="W24" i="20"/>
  <c r="W26" i="20"/>
  <c r="W27" i="20"/>
  <c r="W25" i="20"/>
  <c r="V43" i="18"/>
  <c r="V42" i="18"/>
  <c r="S41" i="18"/>
  <c r="S42" i="18"/>
  <c r="T40" i="18"/>
  <c r="T41" i="18"/>
  <c r="S43" i="18"/>
  <c r="U41" i="18"/>
  <c r="U40" i="18"/>
  <c r="T42" i="18"/>
  <c r="S40" i="18"/>
  <c r="V40" i="18"/>
  <c r="U42" i="18"/>
  <c r="T43" i="18"/>
  <c r="V41" i="18"/>
  <c r="U43" i="18"/>
  <c r="X16" i="18"/>
  <c r="X20" i="18" s="1"/>
  <c r="W21" i="3" s="1"/>
  <c r="W32" i="3" s="1"/>
  <c r="D41" i="21"/>
  <c r="M41" i="21"/>
  <c r="J41" i="21"/>
  <c r="G41" i="21"/>
  <c r="V20" i="12"/>
  <c r="H26" i="19"/>
  <c r="H36" i="19" s="1"/>
  <c r="G26" i="19"/>
  <c r="G36" i="19" s="1"/>
  <c r="S26" i="18"/>
  <c r="V19" i="10"/>
  <c r="T22" i="10"/>
  <c r="T19" i="10"/>
  <c r="T29" i="10" s="1"/>
  <c r="S19" i="10"/>
  <c r="S22" i="10"/>
  <c r="V22" i="10"/>
  <c r="U19" i="10"/>
  <c r="U22" i="10"/>
  <c r="I5" i="13"/>
  <c r="G10" i="13"/>
  <c r="F39" i="3" s="1"/>
  <c r="Q39" i="3" s="1"/>
  <c r="X17" i="10"/>
  <c r="L20" i="12" l="1"/>
  <c r="N5" i="12"/>
  <c r="N7" i="12" s="1"/>
  <c r="W7" i="12" s="1"/>
  <c r="M10" i="12"/>
  <c r="M16" i="12"/>
  <c r="M19" i="12"/>
  <c r="M8" i="12"/>
  <c r="M17" i="12"/>
  <c r="M12" i="12"/>
  <c r="M9" i="12"/>
  <c r="M15" i="12"/>
  <c r="M13" i="12"/>
  <c r="M14" i="12"/>
  <c r="M11" i="12"/>
  <c r="M18" i="12"/>
  <c r="X48" i="18"/>
  <c r="T50" i="18"/>
  <c r="U29" i="10"/>
  <c r="S29" i="10"/>
  <c r="V29" i="10"/>
  <c r="X47" i="18"/>
  <c r="X49" i="18"/>
  <c r="S50" i="18"/>
  <c r="X50" i="18" s="1"/>
  <c r="X46" i="18"/>
  <c r="W15" i="3"/>
  <c r="N49" i="21"/>
  <c r="N52" i="21" s="1"/>
  <c r="O49" i="21"/>
  <c r="O51" i="21" s="1"/>
  <c r="K49" i="21"/>
  <c r="K51" i="21" s="1"/>
  <c r="V19" i="3"/>
  <c r="V21" i="3"/>
  <c r="L49" i="21"/>
  <c r="L51" i="21" s="1"/>
  <c r="M10" i="23"/>
  <c r="P24" i="23"/>
  <c r="R8" i="3"/>
  <c r="I49" i="21"/>
  <c r="I52" i="21" s="1"/>
  <c r="V44" i="21"/>
  <c r="S58" i="21"/>
  <c r="V46" i="21"/>
  <c r="H24" i="23"/>
  <c r="J10" i="23"/>
  <c r="J24" i="23"/>
  <c r="R57" i="21"/>
  <c r="R56" i="21"/>
  <c r="Q55" i="21"/>
  <c r="V20" i="3"/>
  <c r="G24" i="23"/>
  <c r="H49" i="21"/>
  <c r="H52" i="21" s="1"/>
  <c r="T55" i="21"/>
  <c r="Q58" i="21"/>
  <c r="M49" i="21"/>
  <c r="M51" i="21" s="1"/>
  <c r="S47" i="21"/>
  <c r="T56" i="21"/>
  <c r="T57" i="21"/>
  <c r="S9" i="3"/>
  <c r="S30" i="3" s="1"/>
  <c r="J30" i="3"/>
  <c r="W20" i="23"/>
  <c r="V45" i="21"/>
  <c r="T8" i="3"/>
  <c r="R47" i="21"/>
  <c r="S57" i="21"/>
  <c r="M31" i="3"/>
  <c r="T10" i="3"/>
  <c r="T31" i="3" s="1"/>
  <c r="T58" i="21"/>
  <c r="G31" i="3"/>
  <c r="R10" i="3"/>
  <c r="R31" i="3" s="1"/>
  <c r="V37" i="21"/>
  <c r="V38" i="21"/>
  <c r="M32" i="3"/>
  <c r="T11" i="3"/>
  <c r="T32" i="3" s="1"/>
  <c r="M30" i="3"/>
  <c r="T9" i="3"/>
  <c r="T30" i="3" s="1"/>
  <c r="J31" i="3"/>
  <c r="S10" i="3"/>
  <c r="S31" i="3" s="1"/>
  <c r="V43" i="21"/>
  <c r="S56" i="21"/>
  <c r="I10" i="23"/>
  <c r="S55" i="21"/>
  <c r="G30" i="3"/>
  <c r="R9" i="3"/>
  <c r="R30" i="3" s="1"/>
  <c r="Q8" i="3"/>
  <c r="S8" i="3"/>
  <c r="D30" i="3"/>
  <c r="Q9" i="3"/>
  <c r="V40" i="21"/>
  <c r="J32" i="3"/>
  <c r="S11" i="3"/>
  <c r="S32" i="3" s="1"/>
  <c r="T47" i="21"/>
  <c r="R58" i="21"/>
  <c r="Q57" i="21"/>
  <c r="D32" i="3"/>
  <c r="Q11" i="3"/>
  <c r="R11" i="3"/>
  <c r="R32" i="3" s="1"/>
  <c r="G32" i="3"/>
  <c r="F49" i="21"/>
  <c r="F51" i="21" s="1"/>
  <c r="V39" i="21"/>
  <c r="R55" i="21"/>
  <c r="D31" i="3"/>
  <c r="Q10" i="3"/>
  <c r="Q56" i="21"/>
  <c r="E49" i="21"/>
  <c r="E63" i="21" s="1"/>
  <c r="D49" i="21"/>
  <c r="D51" i="21" s="1"/>
  <c r="G49" i="21"/>
  <c r="G51" i="21" s="1"/>
  <c r="J49" i="21"/>
  <c r="J51" i="21" s="1"/>
  <c r="O10" i="23"/>
  <c r="Q47" i="21"/>
  <c r="K13" i="3"/>
  <c r="J13" i="3"/>
  <c r="P10" i="23"/>
  <c r="T9" i="23"/>
  <c r="H13" i="3"/>
  <c r="T24" i="23"/>
  <c r="K24" i="23"/>
  <c r="G13" i="3"/>
  <c r="U9" i="23"/>
  <c r="L10" i="23"/>
  <c r="T8" i="23"/>
  <c r="K10" i="23"/>
  <c r="E13" i="3"/>
  <c r="S8" i="23"/>
  <c r="H10" i="23"/>
  <c r="U24" i="23"/>
  <c r="N24" i="23"/>
  <c r="F10" i="23"/>
  <c r="F13" i="3"/>
  <c r="M13" i="3"/>
  <c r="S24" i="23"/>
  <c r="I24" i="23"/>
  <c r="G10" i="23"/>
  <c r="O13" i="3"/>
  <c r="L13" i="3"/>
  <c r="I13" i="3"/>
  <c r="U8" i="23"/>
  <c r="N10" i="23"/>
  <c r="R9" i="23"/>
  <c r="D13" i="3"/>
  <c r="S9" i="23"/>
  <c r="E24" i="23"/>
  <c r="N13" i="3"/>
  <c r="R8" i="23"/>
  <c r="E10" i="23"/>
  <c r="R36" i="20"/>
  <c r="U36" i="20"/>
  <c r="S36" i="20"/>
  <c r="W28" i="20"/>
  <c r="T36" i="20"/>
  <c r="W34" i="20"/>
  <c r="X43" i="18"/>
  <c r="X41" i="18"/>
  <c r="X42" i="18"/>
  <c r="X40" i="18"/>
  <c r="S25" i="18"/>
  <c r="H44" i="18"/>
  <c r="H52" i="18" s="1"/>
  <c r="I26" i="19"/>
  <c r="I36" i="19" s="1"/>
  <c r="F38" i="3"/>
  <c r="Q38" i="3" s="1"/>
  <c r="V25" i="12"/>
  <c r="Q50" i="21"/>
  <c r="W36" i="20"/>
  <c r="S50" i="21"/>
  <c r="F26" i="19"/>
  <c r="F36" i="19" s="1"/>
  <c r="X19" i="10"/>
  <c r="X22" i="10"/>
  <c r="R10" i="13"/>
  <c r="H10" i="13"/>
  <c r="G39" i="3" s="1"/>
  <c r="J5" i="13"/>
  <c r="L23" i="12" l="1"/>
  <c r="M20" i="12"/>
  <c r="O5" i="12"/>
  <c r="O7" i="12" s="1"/>
  <c r="N10" i="12"/>
  <c r="W10" i="12" s="1"/>
  <c r="N13" i="12"/>
  <c r="W13" i="12" s="1"/>
  <c r="N16" i="12"/>
  <c r="W16" i="12" s="1"/>
  <c r="N19" i="12"/>
  <c r="W19" i="12" s="1"/>
  <c r="N17" i="12"/>
  <c r="W17" i="12" s="1"/>
  <c r="N8" i="12"/>
  <c r="N12" i="12"/>
  <c r="W12" i="12" s="1"/>
  <c r="N11" i="12"/>
  <c r="W11" i="12" s="1"/>
  <c r="N18" i="12"/>
  <c r="W18" i="12" s="1"/>
  <c r="N14" i="12"/>
  <c r="W14" i="12" s="1"/>
  <c r="N9" i="12"/>
  <c r="W9" i="12" s="1"/>
  <c r="N15" i="12"/>
  <c r="W15" i="12" s="1"/>
  <c r="X29" i="10"/>
  <c r="N51" i="21"/>
  <c r="O52" i="21"/>
  <c r="K52" i="21"/>
  <c r="L52" i="21"/>
  <c r="I51" i="21"/>
  <c r="D63" i="21"/>
  <c r="D14" i="6" s="1"/>
  <c r="D52" i="21"/>
  <c r="V57" i="21"/>
  <c r="G52" i="21"/>
  <c r="V58" i="21"/>
  <c r="H51" i="21"/>
  <c r="V55" i="21"/>
  <c r="M52" i="21"/>
  <c r="V56" i="21"/>
  <c r="F52" i="21"/>
  <c r="T10" i="23"/>
  <c r="Q31" i="3"/>
  <c r="V10" i="3"/>
  <c r="V31" i="3" s="1"/>
  <c r="V8" i="3"/>
  <c r="Q32" i="3"/>
  <c r="V11" i="3"/>
  <c r="V32" i="3" s="1"/>
  <c r="V47" i="21"/>
  <c r="Q30" i="3"/>
  <c r="V9" i="3"/>
  <c r="V30" i="3" s="1"/>
  <c r="J52" i="21"/>
  <c r="S10" i="23"/>
  <c r="E51" i="21"/>
  <c r="E52" i="21"/>
  <c r="U10" i="23"/>
  <c r="W9" i="23"/>
  <c r="W8" i="23"/>
  <c r="R10" i="23"/>
  <c r="R24" i="23"/>
  <c r="W24" i="23" s="1"/>
  <c r="S28" i="18"/>
  <c r="S36" i="18" s="1"/>
  <c r="S41" i="21"/>
  <c r="S49" i="21" s="1"/>
  <c r="S52" i="21" s="1"/>
  <c r="T41" i="21"/>
  <c r="T49" i="21" s="1"/>
  <c r="T52" i="21" s="1"/>
  <c r="R41" i="21"/>
  <c r="R49" i="21" s="1"/>
  <c r="R52" i="21" s="1"/>
  <c r="Q41" i="21"/>
  <c r="Q49" i="21" s="1"/>
  <c r="Q52" i="21" s="1"/>
  <c r="I35" i="10"/>
  <c r="L37" i="10"/>
  <c r="J26" i="19"/>
  <c r="J36" i="19" s="1"/>
  <c r="F35" i="10"/>
  <c r="F34" i="10"/>
  <c r="F37" i="10"/>
  <c r="F33" i="10"/>
  <c r="F32" i="10"/>
  <c r="F36" i="10"/>
  <c r="F38" i="10"/>
  <c r="H38" i="10"/>
  <c r="H49" i="10" s="1"/>
  <c r="H37" i="10"/>
  <c r="H48" i="10" s="1"/>
  <c r="H36" i="10"/>
  <c r="H47" i="10" s="1"/>
  <c r="H35" i="10"/>
  <c r="H46" i="10" s="1"/>
  <c r="H34" i="10"/>
  <c r="H45" i="10" s="1"/>
  <c r="H33" i="10"/>
  <c r="H44" i="10" s="1"/>
  <c r="H32" i="10"/>
  <c r="G38" i="10"/>
  <c r="G49" i="10" s="1"/>
  <c r="G37" i="10"/>
  <c r="G48" i="10" s="1"/>
  <c r="G36" i="10"/>
  <c r="G47" i="10" s="1"/>
  <c r="G35" i="10"/>
  <c r="G46" i="10" s="1"/>
  <c r="G34" i="10"/>
  <c r="G45" i="10" s="1"/>
  <c r="G33" i="10"/>
  <c r="G44" i="10" s="1"/>
  <c r="G32" i="10"/>
  <c r="M44" i="18"/>
  <c r="M52" i="18" s="1"/>
  <c r="E37" i="3"/>
  <c r="G63" i="21"/>
  <c r="F63" i="21"/>
  <c r="E12" i="3"/>
  <c r="T13" i="3"/>
  <c r="V13" i="3" s="1"/>
  <c r="G59" i="21"/>
  <c r="I44" i="18"/>
  <c r="I52" i="18" s="1"/>
  <c r="F44" i="18"/>
  <c r="F52" i="18" s="1"/>
  <c r="H59" i="21"/>
  <c r="H64" i="21" s="1"/>
  <c r="G44" i="18"/>
  <c r="G52" i="18" s="1"/>
  <c r="E59" i="21"/>
  <c r="F59" i="21"/>
  <c r="I63" i="21"/>
  <c r="K44" i="18"/>
  <c r="K52" i="18" s="1"/>
  <c r="U26" i="18"/>
  <c r="V26" i="18"/>
  <c r="O12" i="3"/>
  <c r="K63" i="21"/>
  <c r="L59" i="21"/>
  <c r="L64" i="21" s="1"/>
  <c r="K12" i="3"/>
  <c r="T50" i="21"/>
  <c r="V50" i="21" s="1"/>
  <c r="T26" i="18"/>
  <c r="T25" i="18"/>
  <c r="R50" i="21"/>
  <c r="V25" i="18"/>
  <c r="G12" i="3"/>
  <c r="U25" i="18"/>
  <c r="I10" i="13"/>
  <c r="H39" i="3" s="1"/>
  <c r="S9" i="13"/>
  <c r="S7" i="13"/>
  <c r="K5" i="13"/>
  <c r="M23" i="12" l="1"/>
  <c r="H38" i="3" s="1"/>
  <c r="G38" i="3"/>
  <c r="N20" i="12"/>
  <c r="W8" i="12"/>
  <c r="P5" i="12"/>
  <c r="P7" i="12" s="1"/>
  <c r="O10" i="12"/>
  <c r="O11" i="12"/>
  <c r="O18" i="12"/>
  <c r="O13" i="12"/>
  <c r="O8" i="12"/>
  <c r="O14" i="12"/>
  <c r="O16" i="12"/>
  <c r="O17" i="12"/>
  <c r="O9" i="12"/>
  <c r="O15" i="12"/>
  <c r="O19" i="12"/>
  <c r="O12" i="12"/>
  <c r="D37" i="3"/>
  <c r="V28" i="18"/>
  <c r="V36" i="18" s="1"/>
  <c r="D14" i="23"/>
  <c r="M14" i="23" s="1"/>
  <c r="L18" i="3" s="1"/>
  <c r="L28" i="3" s="1"/>
  <c r="W10" i="23"/>
  <c r="T51" i="21"/>
  <c r="Q51" i="21"/>
  <c r="H29" i="3"/>
  <c r="N29" i="3"/>
  <c r="F29" i="3"/>
  <c r="E29" i="3"/>
  <c r="L29" i="3"/>
  <c r="K29" i="3"/>
  <c r="S51" i="21"/>
  <c r="U28" i="18"/>
  <c r="U36" i="18" s="1"/>
  <c r="T28" i="18"/>
  <c r="T36" i="18" s="1"/>
  <c r="O14" i="3"/>
  <c r="O15" i="3"/>
  <c r="G14" i="3"/>
  <c r="G15" i="3"/>
  <c r="E14" i="3"/>
  <c r="E15" i="3"/>
  <c r="K15" i="3"/>
  <c r="K14" i="3"/>
  <c r="V41" i="21"/>
  <c r="V49" i="21" s="1"/>
  <c r="V52" i="21" s="1"/>
  <c r="R51" i="21"/>
  <c r="I36" i="10"/>
  <c r="I47" i="10" s="1"/>
  <c r="I37" i="10"/>
  <c r="I48" i="10" s="1"/>
  <c r="L38" i="10"/>
  <c r="L49" i="10" s="1"/>
  <c r="L35" i="10"/>
  <c r="L46" i="10" s="1"/>
  <c r="L33" i="10"/>
  <c r="L44" i="10" s="1"/>
  <c r="L36" i="10"/>
  <c r="L47" i="10" s="1"/>
  <c r="L34" i="10"/>
  <c r="L45" i="10" s="1"/>
  <c r="L32" i="10"/>
  <c r="L43" i="10" s="1"/>
  <c r="I38" i="10"/>
  <c r="I49" i="10" s="1"/>
  <c r="I33" i="10"/>
  <c r="I34" i="10"/>
  <c r="I45" i="10" s="1"/>
  <c r="I32" i="10"/>
  <c r="I43" i="10" s="1"/>
  <c r="J12" i="3"/>
  <c r="K59" i="21"/>
  <c r="K64" i="21" s="1"/>
  <c r="K14" i="6" s="1"/>
  <c r="K38" i="10"/>
  <c r="K49" i="10" s="1"/>
  <c r="K37" i="10"/>
  <c r="K48" i="10" s="1"/>
  <c r="K36" i="10"/>
  <c r="K47" i="10" s="1"/>
  <c r="K35" i="10"/>
  <c r="K46" i="10" s="1"/>
  <c r="K34" i="10"/>
  <c r="K45" i="10" s="1"/>
  <c r="K33" i="10"/>
  <c r="K44" i="10" s="1"/>
  <c r="K32" i="10"/>
  <c r="L48" i="10"/>
  <c r="M36" i="10"/>
  <c r="M47" i="10" s="1"/>
  <c r="M35" i="10"/>
  <c r="M46" i="10" s="1"/>
  <c r="M37" i="10"/>
  <c r="M48" i="10" s="1"/>
  <c r="M33" i="10"/>
  <c r="M44" i="10" s="1"/>
  <c r="M34" i="10"/>
  <c r="M45" i="10" s="1"/>
  <c r="M38" i="10"/>
  <c r="M49" i="10" s="1"/>
  <c r="M32" i="10"/>
  <c r="H43" i="10"/>
  <c r="H50" i="10" s="1"/>
  <c r="H52" i="10" s="1"/>
  <c r="F36" i="3" s="1"/>
  <c r="H39" i="10"/>
  <c r="H40" i="10" s="1"/>
  <c r="F39" i="10"/>
  <c r="F40" i="10" s="1"/>
  <c r="F43" i="10"/>
  <c r="S32" i="10"/>
  <c r="F47" i="10"/>
  <c r="S47" i="10" s="1"/>
  <c r="S36" i="10"/>
  <c r="S33" i="10"/>
  <c r="F44" i="10"/>
  <c r="S44" i="10" s="1"/>
  <c r="G43" i="10"/>
  <c r="G50" i="10" s="1"/>
  <c r="G52" i="10" s="1"/>
  <c r="E36" i="3" s="1"/>
  <c r="E44" i="3" s="1"/>
  <c r="E45" i="3" s="1"/>
  <c r="G39" i="10"/>
  <c r="G40" i="10" s="1"/>
  <c r="I46" i="10"/>
  <c r="F48" i="10"/>
  <c r="S48" i="10" s="1"/>
  <c r="S37" i="10"/>
  <c r="S38" i="10"/>
  <c r="F49" i="10"/>
  <c r="S49" i="10" s="1"/>
  <c r="N38" i="10"/>
  <c r="N49" i="10" s="1"/>
  <c r="N37" i="10"/>
  <c r="N48" i="10" s="1"/>
  <c r="N36" i="10"/>
  <c r="N47" i="10" s="1"/>
  <c r="N35" i="10"/>
  <c r="N46" i="10" s="1"/>
  <c r="N34" i="10"/>
  <c r="N45" i="10" s="1"/>
  <c r="N33" i="10"/>
  <c r="N44" i="10" s="1"/>
  <c r="N32" i="10"/>
  <c r="F45" i="10"/>
  <c r="S45" i="10" s="1"/>
  <c r="S34" i="10"/>
  <c r="J38" i="10"/>
  <c r="J49" i="10" s="1"/>
  <c r="J37" i="10"/>
  <c r="J48" i="10" s="1"/>
  <c r="J36" i="10"/>
  <c r="J47" i="10" s="1"/>
  <c r="J35" i="10"/>
  <c r="J46" i="10" s="1"/>
  <c r="J34" i="10"/>
  <c r="J45" i="10" s="1"/>
  <c r="J33" i="10"/>
  <c r="J44" i="10" s="1"/>
  <c r="J32" i="10"/>
  <c r="F46" i="10"/>
  <c r="S46" i="10" s="1"/>
  <c r="S35" i="10"/>
  <c r="O36" i="10"/>
  <c r="O37" i="10"/>
  <c r="O33" i="10"/>
  <c r="O38" i="10"/>
  <c r="O35" i="10"/>
  <c r="O32" i="10"/>
  <c r="O34" i="10"/>
  <c r="P36" i="10"/>
  <c r="P47" i="10" s="1"/>
  <c r="P33" i="10"/>
  <c r="P44" i="10" s="1"/>
  <c r="P38" i="10"/>
  <c r="P49" i="10" s="1"/>
  <c r="P35" i="10"/>
  <c r="P46" i="10" s="1"/>
  <c r="P32" i="10"/>
  <c r="P37" i="10"/>
  <c r="P48" i="10" s="1"/>
  <c r="P34" i="10"/>
  <c r="P45" i="10" s="1"/>
  <c r="Q33" i="10"/>
  <c r="Q44" i="10" s="1"/>
  <c r="Q38" i="10"/>
  <c r="Q49" i="10" s="1"/>
  <c r="Q35" i="10"/>
  <c r="Q46" i="10" s="1"/>
  <c r="Q32" i="10"/>
  <c r="Q37" i="10"/>
  <c r="Q48" i="10" s="1"/>
  <c r="Q34" i="10"/>
  <c r="Q45" i="10" s="1"/>
  <c r="Q36" i="10"/>
  <c r="Q47" i="10" s="1"/>
  <c r="S44" i="18"/>
  <c r="S52" i="18" s="1"/>
  <c r="I37" i="3"/>
  <c r="F37" i="3"/>
  <c r="K37" i="3"/>
  <c r="M63" i="21"/>
  <c r="F10" i="6"/>
  <c r="F64" i="21"/>
  <c r="F14" i="6" s="1"/>
  <c r="Q63" i="21"/>
  <c r="E64" i="21"/>
  <c r="E14" i="6" s="1"/>
  <c r="O63" i="21"/>
  <c r="G10" i="6"/>
  <c r="G64" i="21"/>
  <c r="G14" i="6" s="1"/>
  <c r="J63" i="21"/>
  <c r="H63" i="21"/>
  <c r="H14" i="6" s="1"/>
  <c r="G37" i="3"/>
  <c r="L63" i="21"/>
  <c r="L14" i="6" s="1"/>
  <c r="N63" i="21"/>
  <c r="Q59" i="21"/>
  <c r="N59" i="21"/>
  <c r="L10" i="6"/>
  <c r="H10" i="6"/>
  <c r="O59" i="21"/>
  <c r="Q44" i="18"/>
  <c r="Q52" i="18" s="1"/>
  <c r="N44" i="18"/>
  <c r="N52" i="18" s="1"/>
  <c r="J59" i="21"/>
  <c r="X26" i="18"/>
  <c r="I59" i="21"/>
  <c r="M59" i="21"/>
  <c r="H12" i="3"/>
  <c r="U44" i="18"/>
  <c r="U52" i="18" s="1"/>
  <c r="L44" i="18"/>
  <c r="L52" i="18" s="1"/>
  <c r="J44" i="18"/>
  <c r="J52" i="18" s="1"/>
  <c r="P44" i="18"/>
  <c r="P52" i="18" s="1"/>
  <c r="X25" i="18"/>
  <c r="R59" i="21"/>
  <c r="O44" i="18"/>
  <c r="O52" i="18" s="1"/>
  <c r="L12" i="3"/>
  <c r="S13" i="3"/>
  <c r="I12" i="3"/>
  <c r="R13" i="3"/>
  <c r="N12" i="3"/>
  <c r="Q13" i="3"/>
  <c r="F12" i="3"/>
  <c r="M12" i="3"/>
  <c r="J10" i="13"/>
  <c r="I39" i="3" s="1"/>
  <c r="R39" i="3" s="1"/>
  <c r="L5" i="13"/>
  <c r="N23" i="12" l="1"/>
  <c r="O20" i="12"/>
  <c r="Q5" i="12"/>
  <c r="Q7" i="12" s="1"/>
  <c r="X7" i="12" s="1"/>
  <c r="P10" i="12"/>
  <c r="P9" i="12"/>
  <c r="P15" i="12"/>
  <c r="P11" i="12"/>
  <c r="P18" i="12"/>
  <c r="P13" i="12"/>
  <c r="P19" i="12"/>
  <c r="P8" i="12"/>
  <c r="P14" i="12"/>
  <c r="P12" i="12"/>
  <c r="P16" i="12"/>
  <c r="P17" i="12"/>
  <c r="W20" i="12"/>
  <c r="G14" i="23"/>
  <c r="F18" i="3" s="1"/>
  <c r="F28" i="3" s="1"/>
  <c r="F14" i="23"/>
  <c r="E18" i="3" s="1"/>
  <c r="E28" i="3" s="1"/>
  <c r="N14" i="23"/>
  <c r="M18" i="3" s="1"/>
  <c r="O14" i="23"/>
  <c r="N18" i="3" s="1"/>
  <c r="N28" i="3" s="1"/>
  <c r="H14" i="23"/>
  <c r="G18" i="3" s="1"/>
  <c r="G28" i="3" s="1"/>
  <c r="P14" i="23"/>
  <c r="O18" i="3" s="1"/>
  <c r="W18" i="3" s="1"/>
  <c r="W28" i="3" s="1"/>
  <c r="J14" i="23"/>
  <c r="I18" i="3" s="1"/>
  <c r="I28" i="3" s="1"/>
  <c r="K14" i="23"/>
  <c r="L14" i="23"/>
  <c r="K18" i="3" s="1"/>
  <c r="K28" i="3" s="1"/>
  <c r="I14" i="23"/>
  <c r="H18" i="3" s="1"/>
  <c r="H28" i="3" s="1"/>
  <c r="E14" i="23"/>
  <c r="D18" i="3" s="1"/>
  <c r="H26" i="3"/>
  <c r="L26" i="3"/>
  <c r="G26" i="3"/>
  <c r="O26" i="3"/>
  <c r="N26" i="3"/>
  <c r="E26" i="3"/>
  <c r="M26" i="3"/>
  <c r="F26" i="3"/>
  <c r="I26" i="3"/>
  <c r="K26" i="3"/>
  <c r="E27" i="3"/>
  <c r="I27" i="3"/>
  <c r="F27" i="3"/>
  <c r="N27" i="3"/>
  <c r="G27" i="3"/>
  <c r="O29" i="3"/>
  <c r="W29" i="3"/>
  <c r="K27" i="3"/>
  <c r="L27" i="3"/>
  <c r="G29" i="3"/>
  <c r="H27" i="3"/>
  <c r="I29" i="3"/>
  <c r="D26" i="3"/>
  <c r="X28" i="18"/>
  <c r="X36" i="18" s="1"/>
  <c r="F15" i="3"/>
  <c r="F14" i="3"/>
  <c r="H14" i="3"/>
  <c r="H15" i="3"/>
  <c r="J14" i="3"/>
  <c r="J15" i="3"/>
  <c r="I15" i="3"/>
  <c r="I14" i="3"/>
  <c r="N14" i="3"/>
  <c r="N15" i="3"/>
  <c r="L15" i="3"/>
  <c r="L14" i="3"/>
  <c r="M14" i="3"/>
  <c r="M15" i="3"/>
  <c r="V51" i="21"/>
  <c r="L39" i="10"/>
  <c r="L40" i="10" s="1"/>
  <c r="I39" i="10"/>
  <c r="I40" i="10" s="1"/>
  <c r="I44" i="10"/>
  <c r="T44" i="10" s="1"/>
  <c r="L26" i="19"/>
  <c r="L36" i="19" s="1"/>
  <c r="K10" i="6"/>
  <c r="Q14" i="6"/>
  <c r="U44" i="10"/>
  <c r="U49" i="10"/>
  <c r="T37" i="10"/>
  <c r="U48" i="10"/>
  <c r="T48" i="10"/>
  <c r="U37" i="10"/>
  <c r="F44" i="3"/>
  <c r="F45" i="3" s="1"/>
  <c r="T36" i="10"/>
  <c r="U33" i="10"/>
  <c r="T47" i="10"/>
  <c r="J39" i="10"/>
  <c r="J40" i="10" s="1"/>
  <c r="J43" i="10"/>
  <c r="J50" i="10" s="1"/>
  <c r="J52" i="10" s="1"/>
  <c r="H36" i="3" s="1"/>
  <c r="K43" i="10"/>
  <c r="K50" i="10" s="1"/>
  <c r="K52" i="10" s="1"/>
  <c r="I36" i="3" s="1"/>
  <c r="K39" i="10"/>
  <c r="K40" i="10" s="1"/>
  <c r="T38" i="10"/>
  <c r="S43" i="10"/>
  <c r="S50" i="10" s="1"/>
  <c r="S52" i="10" s="1"/>
  <c r="F50" i="10"/>
  <c r="F52" i="10" s="1"/>
  <c r="D36" i="3" s="1"/>
  <c r="T49" i="10"/>
  <c r="U45" i="10"/>
  <c r="U46" i="10"/>
  <c r="T35" i="10"/>
  <c r="L50" i="10"/>
  <c r="L52" i="10" s="1"/>
  <c r="J36" i="3" s="1"/>
  <c r="M39" i="10"/>
  <c r="M40" i="10" s="1"/>
  <c r="M43" i="10"/>
  <c r="M50" i="10" s="1"/>
  <c r="M52" i="10" s="1"/>
  <c r="K36" i="3" s="1"/>
  <c r="T33" i="10"/>
  <c r="T46" i="10"/>
  <c r="N43" i="10"/>
  <c r="N50" i="10" s="1"/>
  <c r="N52" i="10" s="1"/>
  <c r="L36" i="3" s="1"/>
  <c r="N39" i="10"/>
  <c r="N40" i="10" s="1"/>
  <c r="U35" i="10"/>
  <c r="U36" i="10"/>
  <c r="T34" i="10"/>
  <c r="U32" i="10"/>
  <c r="U34" i="10"/>
  <c r="U38" i="10"/>
  <c r="U47" i="10"/>
  <c r="T45" i="10"/>
  <c r="S39" i="10"/>
  <c r="S40" i="10" s="1"/>
  <c r="T32" i="10"/>
  <c r="V34" i="10"/>
  <c r="O45" i="10"/>
  <c r="V32" i="10"/>
  <c r="O43" i="10"/>
  <c r="O39" i="10"/>
  <c r="O40" i="10" s="1"/>
  <c r="O46" i="10"/>
  <c r="V46" i="10" s="1"/>
  <c r="V35" i="10"/>
  <c r="P43" i="10"/>
  <c r="P50" i="10" s="1"/>
  <c r="P52" i="10" s="1"/>
  <c r="N36" i="3" s="1"/>
  <c r="P39" i="10"/>
  <c r="P40" i="10" s="1"/>
  <c r="V38" i="10"/>
  <c r="O49" i="10"/>
  <c r="V49" i="10" s="1"/>
  <c r="O44" i="10"/>
  <c r="V44" i="10" s="1"/>
  <c r="V33" i="10"/>
  <c r="Q43" i="10"/>
  <c r="Q50" i="10" s="1"/>
  <c r="Q52" i="10" s="1"/>
  <c r="O36" i="3" s="1"/>
  <c r="Q39" i="10"/>
  <c r="Q40" i="10" s="1"/>
  <c r="O48" i="10"/>
  <c r="V48" i="10" s="1"/>
  <c r="V37" i="10"/>
  <c r="V36" i="10"/>
  <c r="O47" i="10"/>
  <c r="V47" i="10" s="1"/>
  <c r="N37" i="3"/>
  <c r="H37" i="3"/>
  <c r="Q10" i="6"/>
  <c r="L37" i="3"/>
  <c r="O37" i="3"/>
  <c r="Q37" i="3"/>
  <c r="R63" i="21"/>
  <c r="Q64" i="21"/>
  <c r="M10" i="6"/>
  <c r="M64" i="21"/>
  <c r="M14" i="6" s="1"/>
  <c r="I10" i="6"/>
  <c r="R10" i="6" s="1"/>
  <c r="I64" i="21"/>
  <c r="I14" i="6" s="1"/>
  <c r="J10" i="6"/>
  <c r="J64" i="21"/>
  <c r="O10" i="6"/>
  <c r="O64" i="21"/>
  <c r="O14" i="6" s="1"/>
  <c r="N10" i="6"/>
  <c r="N64" i="21"/>
  <c r="N14" i="6" s="1"/>
  <c r="T63" i="21"/>
  <c r="M37" i="3"/>
  <c r="S63" i="21"/>
  <c r="J37" i="3"/>
  <c r="S59" i="21"/>
  <c r="S12" i="3"/>
  <c r="V44" i="18"/>
  <c r="V52" i="18" s="1"/>
  <c r="T59" i="21"/>
  <c r="R12" i="3"/>
  <c r="T12" i="3"/>
  <c r="T44" i="18"/>
  <c r="T52" i="18" s="1"/>
  <c r="D12" i="3"/>
  <c r="S10" i="13"/>
  <c r="K10" i="13"/>
  <c r="J39" i="3" s="1"/>
  <c r="M5" i="13"/>
  <c r="O23" i="12" l="1"/>
  <c r="I38" i="3"/>
  <c r="W25" i="12"/>
  <c r="P20" i="12"/>
  <c r="R5" i="12"/>
  <c r="R7" i="12" s="1"/>
  <c r="Q10" i="12"/>
  <c r="X10" i="12" s="1"/>
  <c r="Q12" i="12"/>
  <c r="X12" i="12" s="1"/>
  <c r="Q9" i="12"/>
  <c r="X9" i="12" s="1"/>
  <c r="Q15" i="12"/>
  <c r="X15" i="12" s="1"/>
  <c r="Q16" i="12"/>
  <c r="X16" i="12" s="1"/>
  <c r="Q18" i="12"/>
  <c r="X18" i="12" s="1"/>
  <c r="Q13" i="12"/>
  <c r="X13" i="12" s="1"/>
  <c r="Q19" i="12"/>
  <c r="X19" i="12" s="1"/>
  <c r="Q17" i="12"/>
  <c r="X17" i="12" s="1"/>
  <c r="Q11" i="12"/>
  <c r="X11" i="12" s="1"/>
  <c r="Q8" i="12"/>
  <c r="Q14" i="12"/>
  <c r="X14" i="12" s="1"/>
  <c r="J38" i="3"/>
  <c r="S64" i="21"/>
  <c r="J14" i="6"/>
  <c r="O28" i="3"/>
  <c r="U14" i="23"/>
  <c r="T14" i="23"/>
  <c r="R14" i="23"/>
  <c r="S14" i="23"/>
  <c r="J18" i="3"/>
  <c r="J28" i="3" s="1"/>
  <c r="J26" i="3"/>
  <c r="F22" i="3"/>
  <c r="F23" i="3" s="1"/>
  <c r="J18" i="23"/>
  <c r="J26" i="23" s="1"/>
  <c r="W26" i="3"/>
  <c r="F18" i="23"/>
  <c r="F26" i="23" s="1"/>
  <c r="O18" i="23"/>
  <c r="O26" i="23" s="1"/>
  <c r="G18" i="23"/>
  <c r="G26" i="23" s="1"/>
  <c r="P18" i="23"/>
  <c r="P26" i="23" s="1"/>
  <c r="K18" i="23"/>
  <c r="K26" i="23" s="1"/>
  <c r="H18" i="23"/>
  <c r="H26" i="23" s="1"/>
  <c r="D22" i="3"/>
  <c r="D25" i="3" s="1"/>
  <c r="M18" i="23"/>
  <c r="M26" i="23" s="1"/>
  <c r="E18" i="23"/>
  <c r="E26" i="23" s="1"/>
  <c r="N18" i="23"/>
  <c r="N26" i="23" s="1"/>
  <c r="O27" i="3"/>
  <c r="W27" i="3"/>
  <c r="L18" i="23"/>
  <c r="L26" i="23" s="1"/>
  <c r="R27" i="3"/>
  <c r="R18" i="3"/>
  <c r="R28" i="3" s="1"/>
  <c r="S29" i="3"/>
  <c r="J29" i="3"/>
  <c r="R29" i="3"/>
  <c r="D29" i="3"/>
  <c r="T29" i="3"/>
  <c r="M29" i="3"/>
  <c r="T27" i="3"/>
  <c r="M27" i="3"/>
  <c r="Q18" i="3"/>
  <c r="D28" i="3"/>
  <c r="T18" i="3"/>
  <c r="T28" i="3" s="1"/>
  <c r="M28" i="3"/>
  <c r="S27" i="3"/>
  <c r="J27" i="3"/>
  <c r="S15" i="3"/>
  <c r="S14" i="3"/>
  <c r="D15" i="3"/>
  <c r="D14" i="3"/>
  <c r="R15" i="3"/>
  <c r="R14" i="3"/>
  <c r="T15" i="3"/>
  <c r="T14" i="3"/>
  <c r="I50" i="10"/>
  <c r="I52" i="10" s="1"/>
  <c r="G36" i="3" s="1"/>
  <c r="G44" i="3" s="1"/>
  <c r="G45" i="3" s="1"/>
  <c r="S10" i="6"/>
  <c r="X48" i="10"/>
  <c r="X49" i="10"/>
  <c r="X46" i="10"/>
  <c r="K26" i="19"/>
  <c r="K36" i="19" s="1"/>
  <c r="X38" i="10"/>
  <c r="X37" i="10"/>
  <c r="X36" i="10"/>
  <c r="X47" i="10"/>
  <c r="U43" i="10"/>
  <c r="U50" i="10" s="1"/>
  <c r="U52" i="10" s="1"/>
  <c r="X33" i="10"/>
  <c r="X44" i="10"/>
  <c r="X34" i="10"/>
  <c r="T39" i="10"/>
  <c r="T40" i="10" s="1"/>
  <c r="Q36" i="3"/>
  <c r="Q44" i="3" s="1"/>
  <c r="D44" i="3"/>
  <c r="D45" i="3" s="1"/>
  <c r="U39" i="10"/>
  <c r="U40" i="10" s="1"/>
  <c r="H44" i="3"/>
  <c r="H45" i="3" s="1"/>
  <c r="X35" i="10"/>
  <c r="S36" i="3"/>
  <c r="T43" i="10"/>
  <c r="T50" i="10" s="1"/>
  <c r="T52" i="10" s="1"/>
  <c r="T14" i="6"/>
  <c r="V43" i="10"/>
  <c r="X32" i="10"/>
  <c r="V39" i="10"/>
  <c r="V40" i="10" s="1"/>
  <c r="O50" i="10"/>
  <c r="O52" i="10" s="1"/>
  <c r="M36" i="3" s="1"/>
  <c r="T36" i="3" s="1"/>
  <c r="V45" i="10"/>
  <c r="X45" i="10" s="1"/>
  <c r="R64" i="21"/>
  <c r="R14" i="6"/>
  <c r="S14" i="6"/>
  <c r="E22" i="3"/>
  <c r="E25" i="3" s="1"/>
  <c r="E33" i="3" s="1"/>
  <c r="Q26" i="3"/>
  <c r="R37" i="3"/>
  <c r="G22" i="3"/>
  <c r="G25" i="3" s="1"/>
  <c r="G33" i="3" s="1"/>
  <c r="V63" i="21"/>
  <c r="T10" i="6"/>
  <c r="S37" i="3"/>
  <c r="J44" i="3"/>
  <c r="J45" i="3" s="1"/>
  <c r="T64" i="21"/>
  <c r="T37" i="3"/>
  <c r="V59" i="21"/>
  <c r="X44" i="18"/>
  <c r="X52" i="18" s="1"/>
  <c r="M26" i="19"/>
  <c r="M36" i="19" s="1"/>
  <c r="Q12" i="3"/>
  <c r="L10" i="13"/>
  <c r="K39" i="3" s="1"/>
  <c r="N5" i="13"/>
  <c r="T9" i="13"/>
  <c r="T7" i="13"/>
  <c r="P23" i="12" l="1"/>
  <c r="R38" i="3"/>
  <c r="I44" i="3"/>
  <c r="I45" i="3" s="1"/>
  <c r="Q20" i="12"/>
  <c r="X8" i="12"/>
  <c r="S5" i="12"/>
  <c r="S7" i="12" s="1"/>
  <c r="R10" i="12"/>
  <c r="R17" i="12"/>
  <c r="R12" i="12"/>
  <c r="R18" i="12"/>
  <c r="R13" i="12"/>
  <c r="R8" i="12"/>
  <c r="R15" i="12"/>
  <c r="R11" i="12"/>
  <c r="R16" i="12"/>
  <c r="R14" i="12"/>
  <c r="R9" i="12"/>
  <c r="R19" i="12"/>
  <c r="S18" i="3"/>
  <c r="S28" i="3" s="1"/>
  <c r="W14" i="23"/>
  <c r="J22" i="3"/>
  <c r="J25" i="3" s="1"/>
  <c r="J33" i="3" s="1"/>
  <c r="U18" i="23"/>
  <c r="U26" i="23" s="1"/>
  <c r="T18" i="23"/>
  <c r="T26" i="23" s="1"/>
  <c r="R18" i="23"/>
  <c r="R26" i="23" s="1"/>
  <c r="F25" i="3"/>
  <c r="F33" i="3" s="1"/>
  <c r="D27" i="3"/>
  <c r="Q22" i="3"/>
  <c r="Q23" i="3" s="1"/>
  <c r="D23" i="3"/>
  <c r="W22" i="3"/>
  <c r="Q28" i="3"/>
  <c r="V29" i="3"/>
  <c r="Q29" i="3"/>
  <c r="Q15" i="3"/>
  <c r="Q14" i="3"/>
  <c r="R36" i="3"/>
  <c r="V10" i="6"/>
  <c r="I22" i="3"/>
  <c r="I25" i="3" s="1"/>
  <c r="I33" i="3" s="1"/>
  <c r="V64" i="21"/>
  <c r="X39" i="10"/>
  <c r="X40" i="10" s="1"/>
  <c r="V14" i="6"/>
  <c r="V50" i="10"/>
  <c r="V52" i="10" s="1"/>
  <c r="X43" i="10"/>
  <c r="X50" i="10" s="1"/>
  <c r="X52" i="10" s="1"/>
  <c r="G23" i="3"/>
  <c r="I18" i="23"/>
  <c r="I26" i="23" s="1"/>
  <c r="E23" i="3"/>
  <c r="V12" i="3"/>
  <c r="V37" i="3"/>
  <c r="K22" i="3"/>
  <c r="K25" i="3" s="1"/>
  <c r="K33" i="3" s="1"/>
  <c r="Q45" i="3"/>
  <c r="D33" i="3"/>
  <c r="D49" i="3"/>
  <c r="O5" i="13"/>
  <c r="T10" i="13"/>
  <c r="M10" i="13"/>
  <c r="L39" i="3" s="1"/>
  <c r="Q23" i="12" l="1"/>
  <c r="L38" i="3" s="1"/>
  <c r="L44" i="3" s="1"/>
  <c r="L45" i="3" s="1"/>
  <c r="K38" i="3"/>
  <c r="X25" i="12"/>
  <c r="R20" i="12"/>
  <c r="T5" i="12"/>
  <c r="T7" i="12" s="1"/>
  <c r="Y7" i="12" s="1"/>
  <c r="AA7" i="12" s="1"/>
  <c r="S10" i="12"/>
  <c r="S8" i="12"/>
  <c r="S14" i="12"/>
  <c r="S17" i="12"/>
  <c r="S11" i="12"/>
  <c r="S18" i="12"/>
  <c r="S12" i="12"/>
  <c r="S15" i="12"/>
  <c r="S13" i="12"/>
  <c r="S19" i="12"/>
  <c r="S9" i="12"/>
  <c r="S16" i="12"/>
  <c r="X20" i="12"/>
  <c r="V18" i="3"/>
  <c r="V28" i="3" s="1"/>
  <c r="J23" i="3"/>
  <c r="F49" i="3"/>
  <c r="F50" i="3" s="1"/>
  <c r="Q27" i="3"/>
  <c r="V27" i="3"/>
  <c r="W23" i="3"/>
  <c r="W25" i="3"/>
  <c r="J49" i="3"/>
  <c r="J50" i="3" s="1"/>
  <c r="Q25" i="3"/>
  <c r="V36" i="3"/>
  <c r="W36" i="3" s="1"/>
  <c r="R44" i="3"/>
  <c r="R45" i="3" s="1"/>
  <c r="V15" i="3"/>
  <c r="V14" i="3"/>
  <c r="S39" i="3"/>
  <c r="I23" i="3"/>
  <c r="N26" i="19"/>
  <c r="N36" i="19" s="1"/>
  <c r="E49" i="3"/>
  <c r="R26" i="3"/>
  <c r="H22" i="3"/>
  <c r="H25" i="3" s="1"/>
  <c r="H33" i="3" s="1"/>
  <c r="G49" i="3"/>
  <c r="S18" i="23"/>
  <c r="K23" i="3"/>
  <c r="O26" i="19"/>
  <c r="O36" i="19" s="1"/>
  <c r="D50" i="3"/>
  <c r="D8" i="6"/>
  <c r="P5" i="13"/>
  <c r="N10" i="13"/>
  <c r="M39" i="3" s="1"/>
  <c r="R23" i="12" l="1"/>
  <c r="K44" i="3"/>
  <c r="K45" i="3" s="1"/>
  <c r="S38" i="3"/>
  <c r="S20" i="12"/>
  <c r="T13" i="12"/>
  <c r="Y13" i="12" s="1"/>
  <c r="AA13" i="12" s="1"/>
  <c r="T10" i="12"/>
  <c r="Y10" i="12" s="1"/>
  <c r="AA10" i="12" s="1"/>
  <c r="T19" i="12"/>
  <c r="Y19" i="12" s="1"/>
  <c r="AA19" i="12" s="1"/>
  <c r="T8" i="12"/>
  <c r="T14" i="12"/>
  <c r="Y14" i="12" s="1"/>
  <c r="AA14" i="12" s="1"/>
  <c r="T9" i="12"/>
  <c r="Y9" i="12" s="1"/>
  <c r="AA9" i="12" s="1"/>
  <c r="T15" i="12"/>
  <c r="Y15" i="12" s="1"/>
  <c r="AA15" i="12" s="1"/>
  <c r="T12" i="12"/>
  <c r="Y12" i="12" s="1"/>
  <c r="AA12" i="12" s="1"/>
  <c r="T11" i="12"/>
  <c r="Y11" i="12" s="1"/>
  <c r="AA11" i="12" s="1"/>
  <c r="T18" i="12"/>
  <c r="Y18" i="12" s="1"/>
  <c r="AA18" i="12" s="1"/>
  <c r="T16" i="12"/>
  <c r="Y16" i="12" s="1"/>
  <c r="AA16" i="12" s="1"/>
  <c r="T17" i="12"/>
  <c r="Y17" i="12" s="1"/>
  <c r="AA17" i="12" s="1"/>
  <c r="M38" i="3"/>
  <c r="F8" i="6"/>
  <c r="F16" i="6" s="1"/>
  <c r="F29" i="6" s="1"/>
  <c r="J8" i="6"/>
  <c r="J16" i="6" s="1"/>
  <c r="J29" i="6" s="1"/>
  <c r="W33" i="3"/>
  <c r="Q49" i="3"/>
  <c r="Q50" i="3" s="1"/>
  <c r="Q33" i="3"/>
  <c r="W18" i="23"/>
  <c r="W26" i="23" s="1"/>
  <c r="S26" i="23"/>
  <c r="M44" i="3"/>
  <c r="M45" i="3" s="1"/>
  <c r="I49" i="3"/>
  <c r="T26" i="3"/>
  <c r="Q26" i="19"/>
  <c r="Q36" i="19" s="1"/>
  <c r="L22" i="3"/>
  <c r="L25" i="3" s="1"/>
  <c r="L33" i="3" s="1"/>
  <c r="S26" i="3"/>
  <c r="G50" i="3"/>
  <c r="G8" i="6"/>
  <c r="G16" i="6" s="1"/>
  <c r="G29" i="6" s="1"/>
  <c r="H23" i="3"/>
  <c r="R22" i="3"/>
  <c r="E8" i="6"/>
  <c r="E16" i="6" s="1"/>
  <c r="E29" i="6" s="1"/>
  <c r="E50" i="3"/>
  <c r="K49" i="3"/>
  <c r="M22" i="3"/>
  <c r="M25" i="3" s="1"/>
  <c r="M33" i="3" s="1"/>
  <c r="P26" i="19"/>
  <c r="P36" i="19" s="1"/>
  <c r="D16" i="6"/>
  <c r="D29" i="6" s="1"/>
  <c r="O10" i="13"/>
  <c r="N39" i="3" s="1"/>
  <c r="U9" i="13"/>
  <c r="W9" i="13" s="1"/>
  <c r="U7" i="13"/>
  <c r="W7" i="13" s="1"/>
  <c r="S23" i="12" l="1"/>
  <c r="S44" i="3"/>
  <c r="S45" i="3" s="1"/>
  <c r="T20" i="12"/>
  <c r="Y8" i="12"/>
  <c r="R23" i="3"/>
  <c r="R25" i="3"/>
  <c r="R49" i="3" s="1"/>
  <c r="I50" i="3"/>
  <c r="I8" i="6"/>
  <c r="I16" i="6" s="1"/>
  <c r="I29" i="6" s="1"/>
  <c r="L23" i="3"/>
  <c r="O22" i="3"/>
  <c r="O25" i="3" s="1"/>
  <c r="O33" i="3" s="1"/>
  <c r="S22" i="3"/>
  <c r="Q8" i="6"/>
  <c r="Q16" i="6" s="1"/>
  <c r="H49" i="3"/>
  <c r="N22" i="3"/>
  <c r="N25" i="3" s="1"/>
  <c r="N33" i="3" s="1"/>
  <c r="K50" i="3"/>
  <c r="K8" i="6"/>
  <c r="V26" i="3"/>
  <c r="M23" i="3"/>
  <c r="Q29" i="6"/>
  <c r="D31" i="6"/>
  <c r="P10" i="13"/>
  <c r="O39" i="3" s="1"/>
  <c r="T23" i="12" l="1"/>
  <c r="O38" i="3" s="1"/>
  <c r="N38" i="3"/>
  <c r="Y25" i="12"/>
  <c r="AA25" i="12" s="1"/>
  <c r="Y20" i="12"/>
  <c r="AA8" i="12"/>
  <c r="AA20" i="12" s="1"/>
  <c r="S23" i="3"/>
  <c r="S25" i="3"/>
  <c r="S49" i="3" s="1"/>
  <c r="O44" i="3"/>
  <c r="O45" i="3" s="1"/>
  <c r="R33" i="3"/>
  <c r="T39" i="3"/>
  <c r="T22" i="3"/>
  <c r="O23" i="3"/>
  <c r="L49" i="3"/>
  <c r="H50" i="3"/>
  <c r="H8" i="6"/>
  <c r="E30" i="6"/>
  <c r="E31" i="6" s="1"/>
  <c r="D32" i="6"/>
  <c r="K16" i="6"/>
  <c r="K29" i="6" s="1"/>
  <c r="N23" i="3"/>
  <c r="M49" i="3"/>
  <c r="Q31" i="6"/>
  <c r="U10" i="13"/>
  <c r="W10" i="13"/>
  <c r="N44" i="3" l="1"/>
  <c r="N45" i="3" s="1"/>
  <c r="T38" i="3"/>
  <c r="S33" i="3"/>
  <c r="T23" i="3"/>
  <c r="T25" i="3"/>
  <c r="R50" i="3"/>
  <c r="V39" i="3"/>
  <c r="W39" i="3" s="1"/>
  <c r="V22" i="3"/>
  <c r="L50" i="3"/>
  <c r="L8" i="6"/>
  <c r="S50" i="3"/>
  <c r="O49" i="3"/>
  <c r="H16" i="6"/>
  <c r="H29" i="6" s="1"/>
  <c r="R29" i="6" s="1"/>
  <c r="R8" i="6"/>
  <c r="R16" i="6" s="1"/>
  <c r="F30" i="6"/>
  <c r="F31" i="6" s="1"/>
  <c r="E32" i="6"/>
  <c r="N49" i="3"/>
  <c r="M50" i="3"/>
  <c r="M8" i="6"/>
  <c r="V38" i="3" l="1"/>
  <c r="W38" i="3" s="1"/>
  <c r="W44" i="3" s="1"/>
  <c r="T44" i="3"/>
  <c r="W45" i="3"/>
  <c r="W49" i="3"/>
  <c r="W50" i="3" s="1"/>
  <c r="V23" i="3"/>
  <c r="V25" i="3"/>
  <c r="V33" i="3" s="1"/>
  <c r="T33" i="3"/>
  <c r="V44" i="3"/>
  <c r="O8" i="6"/>
  <c r="O16" i="6" s="1"/>
  <c r="O29" i="6" s="1"/>
  <c r="O50" i="3"/>
  <c r="L16" i="6"/>
  <c r="L29" i="6" s="1"/>
  <c r="S29" i="6" s="1"/>
  <c r="S8" i="6"/>
  <c r="S16" i="6" s="1"/>
  <c r="G30" i="6"/>
  <c r="F32" i="6"/>
  <c r="M16" i="6"/>
  <c r="M29" i="6" s="1"/>
  <c r="N8" i="6"/>
  <c r="N16" i="6" s="1"/>
  <c r="N29" i="6" s="1"/>
  <c r="N50" i="3"/>
  <c r="T45" i="3" l="1"/>
  <c r="T49" i="3"/>
  <c r="T50" i="3" s="1"/>
  <c r="V49" i="3"/>
  <c r="V50" i="3" s="1"/>
  <c r="V45" i="3"/>
  <c r="R30" i="6"/>
  <c r="R31" i="6" s="1"/>
  <c r="G31" i="6"/>
  <c r="T8" i="6"/>
  <c r="T29" i="6"/>
  <c r="V29" i="6" s="1"/>
  <c r="V31" i="6" s="1"/>
  <c r="H30" i="6" l="1"/>
  <c r="H31" i="6" s="1"/>
  <c r="G32" i="6"/>
  <c r="T16" i="6"/>
  <c r="V8" i="6"/>
  <c r="V16" i="6" s="1"/>
  <c r="I30" i="6" l="1"/>
  <c r="I31" i="6" s="1"/>
  <c r="H32" i="6"/>
  <c r="J30" i="6" l="1"/>
  <c r="I32" i="6"/>
  <c r="S30" i="6" l="1"/>
  <c r="S31" i="6" s="1"/>
  <c r="J31" i="6"/>
  <c r="K30" i="6" l="1"/>
  <c r="K31" i="6" s="1"/>
  <c r="J32" i="6"/>
  <c r="L30" i="6" l="1"/>
  <c r="L31" i="6" s="1"/>
  <c r="K32" i="6"/>
  <c r="M30" i="6" l="1"/>
  <c r="L32" i="6"/>
  <c r="T30" i="6" l="1"/>
  <c r="T31" i="6" s="1"/>
  <c r="M31" i="6"/>
  <c r="N30" i="6" l="1"/>
  <c r="N31" i="6" s="1"/>
  <c r="M32" i="6"/>
  <c r="O30" i="6" l="1"/>
  <c r="O31" i="6" s="1"/>
  <c r="N32" i="6"/>
  <c r="O3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tc={6429D56D-CD38-44BC-B3E5-00E2F8EA0018}</author>
  </authors>
  <commentList>
    <comment ref="E10" authorId="0" shapeId="0" xr:uid="{6429D56D-CD38-44BC-B3E5-00E2F8EA00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Represents payment from PCG from State of DE penetration testing contract.</t>
      </text>
    </comment>
  </commentList>
</comments>
</file>

<file path=xl/sharedStrings.xml><?xml version="1.0" encoding="utf-8"?>
<sst xmlns="http://schemas.openxmlformats.org/spreadsheetml/2006/main" count="625" uniqueCount="309">
  <si>
    <t>2026 Forecast</t>
  </si>
  <si>
    <t>Income Statement</t>
  </si>
  <si>
    <t>($ in actual)</t>
  </si>
  <si>
    <t>Q1 '26</t>
  </si>
  <si>
    <t>Q2 '26</t>
  </si>
  <si>
    <t>Q3 '26</t>
  </si>
  <si>
    <t>Q4 '26</t>
  </si>
  <si>
    <t>2026E</t>
  </si>
  <si>
    <t>Steady State</t>
  </si>
  <si>
    <t>Revenue</t>
  </si>
  <si>
    <t>AI Monitoring</t>
  </si>
  <si>
    <t>Integration Fee</t>
  </si>
  <si>
    <t>Professional Services - Implementation</t>
  </si>
  <si>
    <t>Professional Services - Monthly</t>
  </si>
  <si>
    <t>Total Revenue</t>
  </si>
  <si>
    <t>ARR</t>
  </si>
  <si>
    <t>Software % of Total Revenue</t>
  </si>
  <si>
    <t>Services % of Total Revenue</t>
  </si>
  <si>
    <t>Cost of Goods Sold</t>
  </si>
  <si>
    <t>Total Cost of Goods Sold</t>
  </si>
  <si>
    <t>% of Total Revenue</t>
  </si>
  <si>
    <t>Gross Profit</t>
  </si>
  <si>
    <t>AFFIRM Base Subscription % Margin</t>
  </si>
  <si>
    <t>Framework Pack % Margin</t>
  </si>
  <si>
    <t>AI Monitoring % Margin</t>
  </si>
  <si>
    <t>Usage Fee % Margin</t>
  </si>
  <si>
    <t>Integration Fee % Margin</t>
  </si>
  <si>
    <t>Professional Services - Implementation % Margin</t>
  </si>
  <si>
    <t>Professional Services - Monthly % Margin</t>
  </si>
  <si>
    <t>Total % Margin</t>
  </si>
  <si>
    <t>Operating Expenses</t>
  </si>
  <si>
    <t>Salaries, Wages, &amp; Benefits</t>
  </si>
  <si>
    <t>Sales Commissions</t>
  </si>
  <si>
    <t>Contract Labor</t>
  </si>
  <si>
    <t>Professional Fees</t>
  </si>
  <si>
    <t>Office Expenses</t>
  </si>
  <si>
    <t>Advertising &amp; Marketing</t>
  </si>
  <si>
    <t>Employee Travel</t>
  </si>
  <si>
    <t>Other Operating Expenses</t>
  </si>
  <si>
    <t>Total Operating Expenses</t>
  </si>
  <si>
    <t>Other Income</t>
  </si>
  <si>
    <t>Net Income</t>
  </si>
  <si>
    <t>Cash Flow Statement</t>
  </si>
  <si>
    <t>Operating Activities</t>
  </si>
  <si>
    <t>Depreciation &amp; Amortization</t>
  </si>
  <si>
    <t>Accounts Receivable</t>
  </si>
  <si>
    <t>Accounts Payable</t>
  </si>
  <si>
    <t>Credit Card</t>
  </si>
  <si>
    <t>Prepaid Expenses</t>
  </si>
  <si>
    <t>Accrued Payroll</t>
  </si>
  <si>
    <t>Other</t>
  </si>
  <si>
    <t>Cash from Operations</t>
  </si>
  <si>
    <t>Investing Activities</t>
  </si>
  <si>
    <t>Office Equipment</t>
  </si>
  <si>
    <t>Cash from Investing</t>
  </si>
  <si>
    <t>Financing Activities</t>
  </si>
  <si>
    <t>Loans from Officers</t>
  </si>
  <si>
    <t>SAFE</t>
  </si>
  <si>
    <t>Cash from Financing</t>
  </si>
  <si>
    <t>Net Increase in Cash</t>
  </si>
  <si>
    <t>Beginning Cash Balance</t>
  </si>
  <si>
    <t>Ending Cash Balance</t>
  </si>
  <si>
    <t>Remaining Cash Burn (Months)</t>
  </si>
  <si>
    <t>Scenario:</t>
  </si>
  <si>
    <t>Base</t>
  </si>
  <si>
    <t>Pricing</t>
  </si>
  <si>
    <t>Annualized</t>
  </si>
  <si>
    <t>Active</t>
  </si>
  <si>
    <t>Product</t>
  </si>
  <si>
    <t>Customer</t>
  </si>
  <si>
    <t>Type</t>
  </si>
  <si>
    <t>Frequency</t>
  </si>
  <si>
    <t>Metric</t>
  </si>
  <si>
    <t>Low</t>
  </si>
  <si>
    <t>High</t>
  </si>
  <si>
    <t>Scenario</t>
  </si>
  <si>
    <t>Federal</t>
  </si>
  <si>
    <t>Recurring</t>
  </si>
  <si>
    <t>Monthly</t>
  </si>
  <si>
    <t>Per AI Model</t>
  </si>
  <si>
    <t>Commercial</t>
  </si>
  <si>
    <t>Both</t>
  </si>
  <si>
    <t>Non-Recurring</t>
  </si>
  <si>
    <t>Upfront</t>
  </si>
  <si>
    <t>Professional Services</t>
  </si>
  <si>
    <t>Per Hour</t>
  </si>
  <si>
    <t>FedRAMP Path</t>
  </si>
  <si>
    <t>AFFIRM Base Subscription - High</t>
  </si>
  <si>
    <t xml:space="preserve"> </t>
  </si>
  <si>
    <t># of Units</t>
  </si>
  <si>
    <t>Unit</t>
  </si>
  <si>
    <t>Subscription</t>
  </si>
  <si>
    <t>AI Model</t>
  </si>
  <si>
    <t>Hours</t>
  </si>
  <si>
    <t>Month</t>
  </si>
  <si>
    <t>Professional Services Split</t>
  </si>
  <si>
    <t>3+</t>
  </si>
  <si>
    <t>Annualized Solution Offering - Federal</t>
  </si>
  <si>
    <t>Total Annualized Solution Offering - Federal</t>
  </si>
  <si>
    <t>% Software</t>
  </si>
  <si>
    <t>% Services</t>
  </si>
  <si>
    <t>Annualized Solution Offering - Commercial</t>
  </si>
  <si>
    <t>Total Annualized Solution Offering - Commercial</t>
  </si>
  <si>
    <t>Sales Forecast</t>
  </si>
  <si>
    <t>Govt / International Customers</t>
  </si>
  <si>
    <t>Commercial Customers</t>
  </si>
  <si>
    <t>Cumulative - Federal</t>
  </si>
  <si>
    <t>Cumulative - Commercial</t>
  </si>
  <si>
    <t>Cumulative - Total</t>
  </si>
  <si>
    <t>Customers by Phase</t>
  </si>
  <si>
    <t>Govt Customers</t>
  </si>
  <si>
    <t>Month 1</t>
  </si>
  <si>
    <t>Month 2</t>
  </si>
  <si>
    <t>Month 3+</t>
  </si>
  <si>
    <t>Products</t>
  </si>
  <si>
    <t>Total Revenue - Federal</t>
  </si>
  <si>
    <t>Total Revenue - Commercial</t>
  </si>
  <si>
    <t>Payments</t>
  </si>
  <si>
    <t>Total Payments</t>
  </si>
  <si>
    <t>Commission Percentage</t>
  </si>
  <si>
    <t>Accrued Commissions</t>
  </si>
  <si>
    <t>Cash Commissions</t>
  </si>
  <si>
    <t>Cost of Goods Sold - Labor</t>
  </si>
  <si>
    <t>Job Title</t>
  </si>
  <si>
    <t>Hourly Rate</t>
  </si>
  <si>
    <t>Weighting</t>
  </si>
  <si>
    <t>Q1 '25</t>
  </si>
  <si>
    <t>Q2 '25</t>
  </si>
  <si>
    <t>Q3 '25</t>
  </si>
  <si>
    <t>Q4 '25</t>
  </si>
  <si>
    <t>2025E</t>
  </si>
  <si>
    <t>Chief Strategy Officer</t>
  </si>
  <si>
    <t>Chief Technology Officer</t>
  </si>
  <si>
    <t>VP of AI Governance &amp; Product Manager</t>
  </si>
  <si>
    <t>Director of AI Governance &amp; Product Research</t>
  </si>
  <si>
    <t>Director of Sales</t>
  </si>
  <si>
    <t>Director of Channel Sales</t>
  </si>
  <si>
    <t>Customer Success Manager</t>
  </si>
  <si>
    <t>Independent Contractor</t>
  </si>
  <si>
    <t>Partner</t>
  </si>
  <si>
    <t>Blended Hourly Rate</t>
  </si>
  <si>
    <t>Adjustment Factor</t>
  </si>
  <si>
    <t>Adjusted Blended Hourly Rate</t>
  </si>
  <si>
    <t>Labor Hours</t>
  </si>
  <si>
    <t>Total Labor Hours - Federal</t>
  </si>
  <si>
    <t>Total Labor Hours - Commercial</t>
  </si>
  <si>
    <t>Total Labor Hours</t>
  </si>
  <si>
    <t>Total Federal Cost of Goods Sold - Labor</t>
  </si>
  <si>
    <t>Total Commercial Cost of Goods Sold - Labor</t>
  </si>
  <si>
    <t>Total Cost of Goods Sold - Labor</t>
  </si>
  <si>
    <t>Cost of Goods Sold - Third Party Software</t>
  </si>
  <si>
    <t>Vendor Name</t>
  </si>
  <si>
    <t>Description</t>
  </si>
  <si>
    <t>OpenAI</t>
  </si>
  <si>
    <t>Prompt</t>
  </si>
  <si>
    <t>Total Cost of Goods Sold - Third Party Software</t>
  </si>
  <si>
    <t>Cost of Goods Sold - Third Party Software Allocation</t>
  </si>
  <si>
    <t>AI Monitoring 1</t>
  </si>
  <si>
    <t>AI Monitoring 2</t>
  </si>
  <si>
    <t>GRC</t>
  </si>
  <si>
    <t>Total Cost of Goods Sold - Third Party Software Allocation</t>
  </si>
  <si>
    <t>Split to Federal</t>
  </si>
  <si>
    <t>Split to Commercial</t>
  </si>
  <si>
    <t>Total Federal Cost of Goods Sold - Third Party Software</t>
  </si>
  <si>
    <t>Total Commercial Cost of Goods Sold - Third Party Software</t>
  </si>
  <si>
    <t>Check</t>
  </si>
  <si>
    <t>Cost of Goods Sold - Hosting &amp; Internet Fees</t>
  </si>
  <si>
    <t>Azure Commercial Cloud</t>
  </si>
  <si>
    <t>Per Customer</t>
  </si>
  <si>
    <t>AWS Commercial Cloud</t>
  </si>
  <si>
    <t>Per Month</t>
  </si>
  <si>
    <t>Total Cost of Goods Sold - Hosting &amp; Internet Fees</t>
  </si>
  <si>
    <t>Allocation to Federal vs. Commercial</t>
  </si>
  <si>
    <t>Total Federal Cost of Goods Sold - Hosting &amp; Internet Fees</t>
  </si>
  <si>
    <t>Total Commercial Cost of Goods Sold - Hosting &amp; Internet Fees</t>
  </si>
  <si>
    <t>Cost of Goods Sold - Other</t>
  </si>
  <si>
    <t>PH Additional Services</t>
  </si>
  <si>
    <t>AI Procurement Lab Commission - Federal</t>
  </si>
  <si>
    <t>AI Procurement Lab Commission - Commercial</t>
  </si>
  <si>
    <t>Total Cost of Goods Sold - Other</t>
  </si>
  <si>
    <t>Total Federal Cost of Goods Sold - Other</t>
  </si>
  <si>
    <t>Total Commercial Cost of Goods Sold - Other</t>
  </si>
  <si>
    <t>Monthly GSS One PaaS Fee - PH Testing - High</t>
  </si>
  <si>
    <t>Monthly GSS One PaaS Fee - Production - High</t>
  </si>
  <si>
    <t>PH Additional Services - High</t>
  </si>
  <si>
    <t>Department</t>
  </si>
  <si>
    <t>Annual Salary</t>
  </si>
  <si>
    <t>Chief Executive Officer</t>
  </si>
  <si>
    <t>Executive &amp; Administrative</t>
  </si>
  <si>
    <t>SVP Special Projects</t>
  </si>
  <si>
    <t>COO</t>
  </si>
  <si>
    <t>Controller</t>
  </si>
  <si>
    <t>SVP of Federal</t>
  </si>
  <si>
    <t>Sales &amp; Marketing</t>
  </si>
  <si>
    <t>Director of Product Research</t>
  </si>
  <si>
    <t>Product Management</t>
  </si>
  <si>
    <t>Customer Success</t>
  </si>
  <si>
    <t>Total Salaries &amp; Wages</t>
  </si>
  <si>
    <t>Employer Payroll Taxes</t>
  </si>
  <si>
    <t>% of Total  Salaries &amp; Wages</t>
  </si>
  <si>
    <t>Payroll Processing Fees</t>
  </si>
  <si>
    <t>Medical Benefits</t>
  </si>
  <si>
    <t>Accrued Bonuses</t>
  </si>
  <si>
    <t>Total Salaries, Wages, &amp; Benefits</t>
  </si>
  <si>
    <t>Hours Allocated to Cost of Goods Sold - Labor</t>
  </si>
  <si>
    <t>Total Hours Allocated to Cost of Goods Sold - Labor</t>
  </si>
  <si>
    <t>% of Total Labor Hours</t>
  </si>
  <si>
    <t>Allocation to Cost of Goods Sold - Labor</t>
  </si>
  <si>
    <t>Total Allocation to Cost of Goods Sold - Labor</t>
  </si>
  <si>
    <t>Total Net Salaries, Wages, &amp; Benefits</t>
  </si>
  <si>
    <t>Last Name</t>
  </si>
  <si>
    <t>First Name</t>
  </si>
  <si>
    <t>Title</t>
  </si>
  <si>
    <t>Pay Rate</t>
  </si>
  <si>
    <t>Hrs / Month</t>
  </si>
  <si>
    <t>End Date</t>
  </si>
  <si>
    <t>Azure Architect</t>
  </si>
  <si>
    <t>Quality Assurance</t>
  </si>
  <si>
    <t>Front-End Developer</t>
  </si>
  <si>
    <t>Azure CSO &amp; Admin</t>
  </si>
  <si>
    <t>Full Stack Developer</t>
  </si>
  <si>
    <t>Business Analyst</t>
  </si>
  <si>
    <t>Back-End Developer</t>
  </si>
  <si>
    <t>UI / UX Designer</t>
  </si>
  <si>
    <t>Azure Architect &amp; Full Stack Programmer</t>
  </si>
  <si>
    <t>Total Contract Labor</t>
  </si>
  <si>
    <t>Target:</t>
  </si>
  <si>
    <t>Target Reductions:</t>
  </si>
  <si>
    <t>Adjusted Total Contract Labor</t>
  </si>
  <si>
    <t>Marcum</t>
  </si>
  <si>
    <t>Tax Preparation</t>
  </si>
  <si>
    <t>ProjectHosts</t>
  </si>
  <si>
    <t>FedRAMP</t>
  </si>
  <si>
    <t>Legal Fee</t>
  </si>
  <si>
    <t>General Counsel</t>
  </si>
  <si>
    <t>Total Professional Fees</t>
  </si>
  <si>
    <t>Test Environment Setup - Moderate</t>
  </si>
  <si>
    <t>Production Environment Setup - Moderate</t>
  </si>
  <si>
    <t>Test Environment Setup - High</t>
  </si>
  <si>
    <t>Production Environment Setup - High</t>
  </si>
  <si>
    <t>Audit Cost 1 - Moderate</t>
  </si>
  <si>
    <t>Audit Cost 1 - High</t>
  </si>
  <si>
    <t>Audit Cost 2 - Moderate</t>
  </si>
  <si>
    <t>Audit Cost 2 - High</t>
  </si>
  <si>
    <t>DocuSign</t>
  </si>
  <si>
    <t>Computer - Software Licenses</t>
  </si>
  <si>
    <t>Lucid Software</t>
  </si>
  <si>
    <t>NetSuite</t>
  </si>
  <si>
    <t>Microsoft</t>
  </si>
  <si>
    <t>Atlassian</t>
  </si>
  <si>
    <t>Hubspot</t>
  </si>
  <si>
    <t>Zoho Expense</t>
  </si>
  <si>
    <t>Monday</t>
  </si>
  <si>
    <t>Carta</t>
  </si>
  <si>
    <t>Figma</t>
  </si>
  <si>
    <t>7pace</t>
  </si>
  <si>
    <t>Twilio</t>
  </si>
  <si>
    <t>Framify</t>
  </si>
  <si>
    <t>Apollo.Io</t>
  </si>
  <si>
    <t>SonarCloud</t>
  </si>
  <si>
    <t>SaaSify</t>
  </si>
  <si>
    <t>Vyond</t>
  </si>
  <si>
    <t>Postman</t>
  </si>
  <si>
    <t>Hublead</t>
  </si>
  <si>
    <t>Hotjar</t>
  </si>
  <si>
    <t>USPS</t>
  </si>
  <si>
    <t>Postage &amp; Delivery</t>
  </si>
  <si>
    <t>UPS</t>
  </si>
  <si>
    <t>Office Depot</t>
  </si>
  <si>
    <t>Printing &amp; Photocopying</t>
  </si>
  <si>
    <t>Total Office Expenses</t>
  </si>
  <si>
    <t>Conferences</t>
  </si>
  <si>
    <t>ShutterStock</t>
  </si>
  <si>
    <t>Marketing Collateral</t>
  </si>
  <si>
    <t>VistaPrint</t>
  </si>
  <si>
    <t>Design</t>
  </si>
  <si>
    <t xml:space="preserve">Wedsite </t>
  </si>
  <si>
    <t>Website Development &amp; Maintenance</t>
  </si>
  <si>
    <t>Total Advertising &amp; Marketing</t>
  </si>
  <si>
    <t>Airfare</t>
  </si>
  <si>
    <t>Employee Meals</t>
  </si>
  <si>
    <t>Hotels</t>
  </si>
  <si>
    <t>Mileage</t>
  </si>
  <si>
    <t>Other Employee Expenses</t>
  </si>
  <si>
    <t>Parking</t>
  </si>
  <si>
    <t>Taxis &amp; Shared Rides</t>
  </si>
  <si>
    <t>Total Employee Travel</t>
  </si>
  <si>
    <t>2025 Forecast</t>
  </si>
  <si>
    <t>Bad Debt Expense</t>
  </si>
  <si>
    <t>Bank of America</t>
  </si>
  <si>
    <t>Bank Fees &amp; Service Charges</t>
  </si>
  <si>
    <t>Florida Sunbiz</t>
  </si>
  <si>
    <t>Licenses and Fees</t>
  </si>
  <si>
    <t>SAM.gov</t>
  </si>
  <si>
    <t>North American Securities Administrators Association, Inc.</t>
  </si>
  <si>
    <t>International Organization for Standardization</t>
  </si>
  <si>
    <t>Checkr Inc.</t>
  </si>
  <si>
    <t>Marcum Technology LLC</t>
  </si>
  <si>
    <t>Florida Department of Revenue</t>
  </si>
  <si>
    <t>The Hartford</t>
  </si>
  <si>
    <t>Commercial Liability Insurance</t>
  </si>
  <si>
    <t>Travelers</t>
  </si>
  <si>
    <t>Directors &amp; Officers Liability</t>
  </si>
  <si>
    <t>Workers' Compensation Insurance</t>
  </si>
  <si>
    <t>Credit Card Interest</t>
  </si>
  <si>
    <t>FARDA</t>
  </si>
  <si>
    <t>Office Rent</t>
  </si>
  <si>
    <t>FL Reemployment Tax</t>
  </si>
  <si>
    <t>Total Other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</si>
</sst>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000"/>
    <numFmt numFmtId="165" formatCode="#,##0.0_);[Red]\(#,##0.0\)"/>
    <numFmt numFmtId="166" formatCode="0.0%"/>
    <numFmt numFmtId="167" formatCode="&quot;$&quot;#,##0.000_);[Red]\(&quot;$&quot;#,##0.000\)"/>
    <numFmt numFmtId="168" formatCode="0.0\X_)"/>
  </numFmts>
  <fonts count="20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name val="Aptos Narrow"/>
      <family val="2"/>
      <scheme val="minor"/>
    </font>
    <font>
      <b/>
      <sz val="10"/>
      <name val="Aptos Narrow"/>
      <family val="2"/>
      <scheme val="minor"/>
    </font>
    <font>
      <i/>
      <sz val="9"/>
      <color rgb="FF0000FF"/>
      <name val="Aptos Narrow"/>
      <family val="2"/>
      <scheme val="minor"/>
    </font>
    <font>
      <sz val="10"/>
      <color rgb="FF008000"/>
      <name val="Aptos Narrow"/>
      <family val="2"/>
      <scheme val="minor"/>
    </font>
    <font>
      <i/>
      <sz val="9"/>
      <color rgb="FFFF0000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u/>
      <sz val="10"/>
      <color rgb="FFC0000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color rgb="FF008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6" fontId="3" fillId="2" borderId="1" xfId="0" applyNumberFormat="1" applyFont="1" applyFill="1" applyBorder="1" applyAlignment="1">
      <alignment horizontal="center"/>
    </xf>
    <xf numFmtId="6" fontId="3" fillId="2" borderId="3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6" fontId="1" fillId="0" borderId="0" xfId="0" applyNumberFormat="1" applyFont="1"/>
    <xf numFmtId="8" fontId="1" fillId="0" borderId="0" xfId="0" applyNumberFormat="1" applyFont="1"/>
    <xf numFmtId="6" fontId="5" fillId="0" borderId="3" xfId="0" applyNumberFormat="1" applyFont="1" applyBorder="1" applyAlignment="1">
      <alignment horizontal="center"/>
    </xf>
    <xf numFmtId="6" fontId="5" fillId="0" borderId="1" xfId="0" applyNumberFormat="1" applyFont="1" applyBorder="1" applyAlignment="1">
      <alignment horizontal="center"/>
    </xf>
    <xf numFmtId="17" fontId="2" fillId="0" borderId="2" xfId="0" applyNumberFormat="1" applyFont="1" applyBorder="1"/>
    <xf numFmtId="0" fontId="2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/>
    <xf numFmtId="6" fontId="2" fillId="0" borderId="4" xfId="0" applyNumberFormat="1" applyFont="1" applyBorder="1"/>
    <xf numFmtId="0" fontId="1" fillId="0" borderId="0" xfId="0" applyFont="1" applyAlignment="1">
      <alignment horizontal="left" indent="1"/>
    </xf>
    <xf numFmtId="0" fontId="2" fillId="0" borderId="2" xfId="0" applyFont="1" applyBorder="1" applyAlignment="1">
      <alignment horizontal="right"/>
    </xf>
    <xf numFmtId="6" fontId="8" fillId="0" borderId="0" xfId="0" applyNumberFormat="1" applyFont="1"/>
    <xf numFmtId="0" fontId="7" fillId="0" borderId="2" xfId="0" applyFont="1" applyBorder="1"/>
    <xf numFmtId="9" fontId="8" fillId="0" borderId="0" xfId="1" applyFont="1" applyAlignment="1">
      <alignment horizontal="right"/>
    </xf>
    <xf numFmtId="9" fontId="8" fillId="0" borderId="0" xfId="1" applyFont="1"/>
    <xf numFmtId="6" fontId="2" fillId="0" borderId="5" xfId="0" applyNumberFormat="1" applyFont="1" applyBorder="1"/>
    <xf numFmtId="0" fontId="1" fillId="3" borderId="0" xfId="0" applyFont="1" applyFill="1"/>
    <xf numFmtId="0" fontId="2" fillId="3" borderId="0" xfId="0" applyFont="1" applyFill="1"/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6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12" fillId="0" borderId="0" xfId="1" applyNumberFormat="1" applyFont="1"/>
    <xf numFmtId="0" fontId="2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6" fontId="5" fillId="0" borderId="0" xfId="0" applyNumberFormat="1" applyFont="1" applyAlignment="1">
      <alignment horizontal="left"/>
    </xf>
    <xf numFmtId="38" fontId="3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6" fontId="3" fillId="0" borderId="0" xfId="0" applyNumberFormat="1" applyFont="1"/>
    <xf numFmtId="9" fontId="2" fillId="0" borderId="0" xfId="1" applyFont="1" applyAlignment="1">
      <alignment horizontal="center"/>
    </xf>
    <xf numFmtId="166" fontId="3" fillId="0" borderId="0" xfId="1" applyNumberFormat="1" applyFont="1" applyAlignment="1">
      <alignment horizontal="center"/>
    </xf>
    <xf numFmtId="38" fontId="1" fillId="0" borderId="0" xfId="0" applyNumberFormat="1" applyFont="1"/>
    <xf numFmtId="38" fontId="3" fillId="0" borderId="0" xfId="0" applyNumberFormat="1" applyFont="1"/>
    <xf numFmtId="9" fontId="3" fillId="0" borderId="0" xfId="1" applyFont="1"/>
    <xf numFmtId="38" fontId="3" fillId="2" borderId="1" xfId="0" applyNumberFormat="1" applyFont="1" applyFill="1" applyBorder="1" applyAlignment="1">
      <alignment horizontal="center"/>
    </xf>
    <xf numFmtId="9" fontId="8" fillId="0" borderId="0" xfId="1" applyFont="1" applyAlignment="1">
      <alignment horizontal="center"/>
    </xf>
    <xf numFmtId="9" fontId="8" fillId="0" borderId="0" xfId="0" applyNumberFormat="1" applyFont="1"/>
    <xf numFmtId="38" fontId="2" fillId="0" borderId="4" xfId="0" applyNumberFormat="1" applyFont="1" applyBorder="1"/>
    <xf numFmtId="38" fontId="6" fillId="2" borderId="1" xfId="0" applyNumberFormat="1" applyFont="1" applyFill="1" applyBorder="1"/>
    <xf numFmtId="38" fontId="10" fillId="0" borderId="0" xfId="0" applyNumberFormat="1" applyFont="1"/>
    <xf numFmtId="38" fontId="5" fillId="0" borderId="3" xfId="0" applyNumberFormat="1" applyFont="1" applyBorder="1" applyAlignment="1">
      <alignment horizontal="center"/>
    </xf>
    <xf numFmtId="38" fontId="13" fillId="0" borderId="0" xfId="0" applyNumberFormat="1" applyFont="1"/>
    <xf numFmtId="6" fontId="13" fillId="0" borderId="0" xfId="0" applyNumberFormat="1" applyFont="1"/>
    <xf numFmtId="6" fontId="5" fillId="0" borderId="0" xfId="0" applyNumberFormat="1" applyFont="1"/>
    <xf numFmtId="0" fontId="2" fillId="0" borderId="0" xfId="0" applyFont="1" applyAlignment="1">
      <alignment horizontal="left" indent="1"/>
    </xf>
    <xf numFmtId="165" fontId="3" fillId="0" borderId="0" xfId="0" applyNumberFormat="1" applyFont="1" applyAlignment="1">
      <alignment horizontal="center"/>
    </xf>
    <xf numFmtId="6" fontId="3" fillId="0" borderId="0" xfId="0" applyNumberFormat="1" applyFont="1" applyAlignment="1">
      <alignment horizontal="left"/>
    </xf>
    <xf numFmtId="0" fontId="14" fillId="0" borderId="0" xfId="0" applyFont="1"/>
    <xf numFmtId="167" fontId="14" fillId="0" borderId="0" xfId="0" applyNumberFormat="1" applyFont="1"/>
    <xf numFmtId="9" fontId="3" fillId="0" borderId="0" xfId="1" applyFont="1" applyAlignment="1">
      <alignment horizontal="left"/>
    </xf>
    <xf numFmtId="9" fontId="2" fillId="0" borderId="4" xfId="1" applyFont="1" applyBorder="1"/>
    <xf numFmtId="6" fontId="3" fillId="0" borderId="0" xfId="0" applyNumberFormat="1" applyFont="1" applyAlignment="1">
      <alignment horizontal="right"/>
    </xf>
    <xf numFmtId="168" fontId="8" fillId="0" borderId="0" xfId="0" applyNumberFormat="1" applyFont="1"/>
    <xf numFmtId="164" fontId="2" fillId="0" borderId="0" xfId="0" applyNumberFormat="1" applyFont="1" applyAlignment="1">
      <alignment horizontal="left"/>
    </xf>
    <xf numFmtId="6" fontId="1" fillId="0" borderId="0" xfId="0" applyNumberFormat="1" applyFont="1" applyAlignment="1">
      <alignment horizontal="center"/>
    </xf>
    <xf numFmtId="6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8" fillId="0" borderId="0" xfId="0" applyFont="1" applyAlignment="1">
      <alignment horizontal="left"/>
    </xf>
    <xf numFmtId="9" fontId="8" fillId="0" borderId="0" xfId="1" applyFont="1" applyBorder="1" applyAlignment="1">
      <alignment horizontal="right"/>
    </xf>
    <xf numFmtId="9" fontId="1" fillId="0" borderId="0" xfId="0" applyNumberFormat="1" applyFont="1"/>
    <xf numFmtId="0" fontId="2" fillId="0" borderId="0" xfId="0" applyFont="1" applyAlignment="1">
      <alignment horizontal="right"/>
    </xf>
    <xf numFmtId="0" fontId="16" fillId="0" borderId="0" xfId="0" applyFont="1"/>
    <xf numFmtId="0" fontId="17" fillId="0" borderId="0" xfId="0" applyFont="1"/>
    <xf numFmtId="38" fontId="3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38" fontId="2" fillId="0" borderId="2" xfId="0" applyNumberFormat="1" applyFont="1" applyBorder="1" applyAlignment="1">
      <alignment horizontal="center"/>
    </xf>
    <xf numFmtId="9" fontId="3" fillId="2" borderId="3" xfId="1" applyFont="1" applyFill="1" applyBorder="1" applyAlignment="1">
      <alignment horizontal="center"/>
    </xf>
    <xf numFmtId="9" fontId="5" fillId="0" borderId="3" xfId="1" applyFont="1" applyBorder="1" applyAlignment="1">
      <alignment horizontal="center"/>
    </xf>
    <xf numFmtId="38" fontId="5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38" fontId="5" fillId="0" borderId="0" xfId="0" applyNumberFormat="1" applyFont="1"/>
    <xf numFmtId="38" fontId="8" fillId="0" borderId="0" xfId="0" applyNumberFormat="1" applyFont="1"/>
    <xf numFmtId="38" fontId="11" fillId="0" borderId="5" xfId="0" applyNumberFormat="1" applyFont="1" applyBorder="1"/>
    <xf numFmtId="38" fontId="11" fillId="0" borderId="4" xfId="0" applyNumberFormat="1" applyFont="1" applyBorder="1"/>
    <xf numFmtId="6" fontId="2" fillId="0" borderId="0" xfId="0" applyNumberFormat="1" applyFont="1"/>
    <xf numFmtId="6" fontId="11" fillId="0" borderId="5" xfId="0" applyNumberFormat="1" applyFont="1" applyBorder="1"/>
    <xf numFmtId="166" fontId="3" fillId="2" borderId="1" xfId="1" applyNumberFormat="1" applyFont="1" applyFill="1" applyBorder="1" applyAlignment="1">
      <alignment horizontal="center"/>
    </xf>
    <xf numFmtId="9" fontId="12" fillId="2" borderId="1" xfId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9" fontId="3" fillId="2" borderId="1" xfId="1" applyFont="1" applyFill="1" applyBorder="1"/>
    <xf numFmtId="9" fontId="3" fillId="2" borderId="6" xfId="1" applyFont="1" applyFill="1" applyBorder="1"/>
    <xf numFmtId="6" fontId="5" fillId="0" borderId="0" xfId="0" applyNumberFormat="1" applyFont="1" applyAlignment="1">
      <alignment horizontal="right"/>
    </xf>
    <xf numFmtId="6" fontId="5" fillId="0" borderId="1" xfId="0" applyNumberFormat="1" applyFont="1" applyBorder="1" applyAlignment="1">
      <alignment horizontal="left"/>
    </xf>
    <xf numFmtId="9" fontId="5" fillId="0" borderId="1" xfId="1" applyFont="1" applyFill="1" applyBorder="1"/>
    <xf numFmtId="9" fontId="6" fillId="0" borderId="0" xfId="1" applyFont="1" applyAlignment="1">
      <alignment horizontal="left"/>
    </xf>
    <xf numFmtId="9" fontId="11" fillId="0" borderId="1" xfId="1" applyFont="1" applyFill="1" applyBorder="1"/>
    <xf numFmtId="9" fontId="2" fillId="0" borderId="0" xfId="0" applyNumberFormat="1" applyFont="1"/>
    <xf numFmtId="6" fontId="3" fillId="2" borderId="1" xfId="1" applyNumberFormat="1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/>
    </xf>
    <xf numFmtId="9" fontId="13" fillId="0" borderId="0" xfId="1" applyFont="1" applyAlignment="1">
      <alignment horizontal="center"/>
    </xf>
    <xf numFmtId="6" fontId="6" fillId="2" borderId="1" xfId="1" applyNumberFormat="1" applyFont="1" applyFill="1" applyBorder="1" applyAlignment="1">
      <alignment horizontal="center"/>
    </xf>
    <xf numFmtId="6" fontId="5" fillId="0" borderId="1" xfId="1" applyNumberFormat="1" applyFont="1" applyFill="1" applyBorder="1" applyAlignment="1">
      <alignment horizontal="center"/>
    </xf>
    <xf numFmtId="0" fontId="5" fillId="0" borderId="0" xfId="0" applyFont="1"/>
    <xf numFmtId="6" fontId="19" fillId="0" borderId="0" xfId="0" applyNumberFormat="1" applyFont="1" applyAlignment="1">
      <alignment horizontal="center"/>
    </xf>
    <xf numFmtId="6" fontId="19" fillId="0" borderId="1" xfId="1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 Dougherty" id="{D8D09035-5545-487E-B016-CFFB35ABCEE6}" userId="S::cdougherty@synergist.technology::05045564-c6d8-42ac-8262-a3b1e5bdf61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4-12-10T19:04:24.04" personId="{D8D09035-5545-487E-B016-CFFB35ABCEE6}" id="{6429D56D-CD38-44BC-B3E5-00E2F8EA0018}">
    <text>Represents payment from PCG from State of DE penetration testing contract.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E2F7-EFCB-42BA-8BF7-488BB3C9775B}">
  <sheetPr>
    <tabColor theme="6"/>
  </sheetPr>
  <dimension ref="A1"/>
  <sheetViews>
    <sheetView showGridLines="0" workbookViewId="0"/>
  </sheetViews>
  <sheetFormatPr baseColWidth="10" defaultColWidth="8.83203125" defaultRowHeight="14" x14ac:dyDescent="0.2"/>
  <cols>
    <col min="1" max="16384" width="8.832031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B6A5-2B46-42B0-8C07-B6B54DEDF38D}">
  <sheetPr>
    <tabColor theme="6" tint="0.79998168889431442"/>
  </sheetPr>
  <dimension ref="C1:X56"/>
  <sheetViews>
    <sheetView showGridLines="0" zoomScaleNormal="100" workbookViewId="0">
      <selection activeCell="A3" sqref="A3"/>
    </sheetView>
  </sheetViews>
  <sheetFormatPr baseColWidth="10" defaultColWidth="8.83203125" defaultRowHeight="14" outlineLevelRow="1" x14ac:dyDescent="0.2"/>
  <cols>
    <col min="1" max="2" width="3.6640625" style="1" customWidth="1"/>
    <col min="3" max="3" width="34.83203125" style="1" bestFit="1" customWidth="1"/>
    <col min="4" max="15" width="11.6640625" style="1" customWidth="1"/>
    <col min="16" max="16" width="3.6640625" style="1" customWidth="1"/>
    <col min="17" max="20" width="11.6640625" style="1" customWidth="1"/>
    <col min="21" max="21" width="3.6640625" style="1" customWidth="1"/>
    <col min="22" max="23" width="11.6640625" style="1" customWidth="1"/>
    <col min="24" max="24" width="9.5" style="1" bestFit="1" customWidth="1"/>
    <col min="25" max="16384" width="8.83203125" style="1"/>
  </cols>
  <sheetData>
    <row r="1" spans="3:23" x14ac:dyDescent="0.2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3:23" x14ac:dyDescent="0.2">
      <c r="C2" s="27" t="s">
        <v>0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3:23" x14ac:dyDescent="0.2">
      <c r="C3" s="14" t="s">
        <v>1</v>
      </c>
    </row>
    <row r="4" spans="3:23" ht="6" customHeight="1" x14ac:dyDescent="0.2"/>
    <row r="5" spans="3:23" ht="14" customHeight="1" thickBot="1" x14ac:dyDescent="0.25">
      <c r="C5" s="22" t="s">
        <v>2</v>
      </c>
      <c r="D5" s="11">
        <v>46023</v>
      </c>
      <c r="E5" s="11">
        <f>EOMONTH(D5,0)+1</f>
        <v>46054</v>
      </c>
      <c r="F5" s="11">
        <f t="shared" ref="F5:O5" si="0">EOMONTH(E5,0)+1</f>
        <v>46082</v>
      </c>
      <c r="G5" s="11">
        <f t="shared" si="0"/>
        <v>46113</v>
      </c>
      <c r="H5" s="11">
        <f t="shared" si="0"/>
        <v>46143</v>
      </c>
      <c r="I5" s="11">
        <f t="shared" si="0"/>
        <v>46174</v>
      </c>
      <c r="J5" s="11">
        <f t="shared" si="0"/>
        <v>46204</v>
      </c>
      <c r="K5" s="11">
        <f t="shared" si="0"/>
        <v>46235</v>
      </c>
      <c r="L5" s="11">
        <f t="shared" si="0"/>
        <v>46266</v>
      </c>
      <c r="M5" s="11">
        <f t="shared" si="0"/>
        <v>46296</v>
      </c>
      <c r="N5" s="11">
        <f t="shared" si="0"/>
        <v>46327</v>
      </c>
      <c r="O5" s="11">
        <f t="shared" si="0"/>
        <v>46357</v>
      </c>
      <c r="Q5" s="20" t="s">
        <v>3</v>
      </c>
      <c r="R5" s="20" t="s">
        <v>4</v>
      </c>
      <c r="S5" s="20" t="s">
        <v>5</v>
      </c>
      <c r="T5" s="20" t="s">
        <v>6</v>
      </c>
      <c r="V5" s="20" t="s">
        <v>7</v>
      </c>
      <c r="W5" s="20" t="s">
        <v>8</v>
      </c>
    </row>
    <row r="6" spans="3:23" ht="6" customHeight="1" x14ac:dyDescent="0.2"/>
    <row r="7" spans="3:23" x14ac:dyDescent="0.2">
      <c r="C7" s="17" t="s">
        <v>9</v>
      </c>
    </row>
    <row r="8" spans="3:23" x14ac:dyDescent="0.2">
      <c r="C8" s="19" t="s">
        <v>10</v>
      </c>
      <c r="D8" s="7">
        <f>'Sales Forecast'!D37+'Sales Forecast'!D43</f>
        <v>0</v>
      </c>
      <c r="E8" s="7">
        <f>'Sales Forecast'!E37+'Sales Forecast'!E43</f>
        <v>0</v>
      </c>
      <c r="F8" s="7">
        <f>'Sales Forecast'!F37+'Sales Forecast'!F43</f>
        <v>0</v>
      </c>
      <c r="G8" s="7">
        <f>'Sales Forecast'!G37+'Sales Forecast'!G43</f>
        <v>7500</v>
      </c>
      <c r="H8" s="7">
        <f>'Sales Forecast'!H37+'Sales Forecast'!H43</f>
        <v>15000</v>
      </c>
      <c r="I8" s="7">
        <f>'Sales Forecast'!I37+'Sales Forecast'!I43</f>
        <v>22500</v>
      </c>
      <c r="J8" s="7">
        <f>'Sales Forecast'!J37+'Sales Forecast'!J43</f>
        <v>45000</v>
      </c>
      <c r="K8" s="7">
        <f>'Sales Forecast'!K37+'Sales Forecast'!K43</f>
        <v>82500</v>
      </c>
      <c r="L8" s="7">
        <f>'Sales Forecast'!L37+'Sales Forecast'!L43</f>
        <v>127500</v>
      </c>
      <c r="M8" s="7">
        <f>'Sales Forecast'!M37+'Sales Forecast'!M43</f>
        <v>202500</v>
      </c>
      <c r="N8" s="7">
        <f>'Sales Forecast'!N37+'Sales Forecast'!N43</f>
        <v>285000</v>
      </c>
      <c r="O8" s="7">
        <f>'Sales Forecast'!O37+'Sales Forecast'!O43</f>
        <v>375000</v>
      </c>
      <c r="Q8" s="7">
        <f t="shared" ref="Q8:Q11" si="1">SUM(D8:F8)</f>
        <v>0</v>
      </c>
      <c r="R8" s="7">
        <f t="shared" ref="R8:R11" si="2">SUM(G8:I8)</f>
        <v>45000</v>
      </c>
      <c r="S8" s="7">
        <f t="shared" ref="S8:S11" si="3">SUM(J8:L8)</f>
        <v>255000</v>
      </c>
      <c r="T8" s="7">
        <f t="shared" ref="T8:T11" si="4">SUM(M8:O8)</f>
        <v>862500</v>
      </c>
      <c r="V8" s="7">
        <f t="shared" ref="V8:V11" si="5">SUM(Q8:T8)</f>
        <v>1162500</v>
      </c>
      <c r="W8" s="7">
        <f>SUM('Sales Forecast'!D7:O7)*'Solution Offering'!J5*'Product &amp; Pricing List'!P5*12+SUM('Sales Forecast'!D8:O8)*'Solution Offering'!J5*'Product &amp; Pricing List'!P6*12</f>
        <v>8280000</v>
      </c>
    </row>
    <row r="9" spans="3:23" x14ac:dyDescent="0.2">
      <c r="C9" s="19" t="s">
        <v>11</v>
      </c>
      <c r="D9" s="7">
        <f>'Sales Forecast'!D38+'Sales Forecast'!D44</f>
        <v>0</v>
      </c>
      <c r="E9" s="7">
        <f>'Sales Forecast'!E38+'Sales Forecast'!E44</f>
        <v>0</v>
      </c>
      <c r="F9" s="7">
        <f>'Sales Forecast'!F38+'Sales Forecast'!F44</f>
        <v>0</v>
      </c>
      <c r="G9" s="7">
        <f>'Sales Forecast'!G38+'Sales Forecast'!G44</f>
        <v>0</v>
      </c>
      <c r="H9" s="7">
        <f>'Sales Forecast'!H38+'Sales Forecast'!H44</f>
        <v>0</v>
      </c>
      <c r="I9" s="7">
        <f>'Sales Forecast'!I38+'Sales Forecast'!I44</f>
        <v>0</v>
      </c>
      <c r="J9" s="7">
        <f>'Sales Forecast'!J38+'Sales Forecast'!J44</f>
        <v>0</v>
      </c>
      <c r="K9" s="7">
        <f>'Sales Forecast'!K38+'Sales Forecast'!K44</f>
        <v>0</v>
      </c>
      <c r="L9" s="7">
        <f>'Sales Forecast'!L38+'Sales Forecast'!L44</f>
        <v>0</v>
      </c>
      <c r="M9" s="7">
        <f>'Sales Forecast'!M38+'Sales Forecast'!M44</f>
        <v>0</v>
      </c>
      <c r="N9" s="7">
        <f>'Sales Forecast'!N38+'Sales Forecast'!N44</f>
        <v>0</v>
      </c>
      <c r="O9" s="7">
        <f>'Sales Forecast'!O38+'Sales Forecast'!O44</f>
        <v>0</v>
      </c>
      <c r="Q9" s="7">
        <f t="shared" si="1"/>
        <v>0</v>
      </c>
      <c r="R9" s="7">
        <f t="shared" si="2"/>
        <v>0</v>
      </c>
      <c r="S9" s="7">
        <f t="shared" si="3"/>
        <v>0</v>
      </c>
      <c r="T9" s="7">
        <f t="shared" si="4"/>
        <v>0</v>
      </c>
      <c r="V9" s="7">
        <f t="shared" si="5"/>
        <v>0</v>
      </c>
      <c r="W9" s="41">
        <v>0</v>
      </c>
    </row>
    <row r="10" spans="3:23" x14ac:dyDescent="0.2">
      <c r="C10" s="19" t="s">
        <v>12</v>
      </c>
      <c r="D10" s="7">
        <f>'Sales Forecast'!D39+'Sales Forecast'!D45</f>
        <v>0</v>
      </c>
      <c r="E10" s="7">
        <f>'Sales Forecast'!E39+'Sales Forecast'!E45</f>
        <v>765</v>
      </c>
      <c r="F10" s="7">
        <f>'Sales Forecast'!F39+'Sales Forecast'!F45</f>
        <v>765</v>
      </c>
      <c r="G10" s="7">
        <f>'Sales Forecast'!G39+'Sales Forecast'!G45</f>
        <v>2295</v>
      </c>
      <c r="H10" s="7">
        <f>'Sales Forecast'!H39+'Sales Forecast'!H45</f>
        <v>3825</v>
      </c>
      <c r="I10" s="7">
        <f>'Sales Forecast'!I39+'Sales Forecast'!I45</f>
        <v>4590</v>
      </c>
      <c r="J10" s="7">
        <f>'Sales Forecast'!J39+'Sales Forecast'!J45</f>
        <v>7650</v>
      </c>
      <c r="K10" s="7">
        <f>'Sales Forecast'!K39+'Sales Forecast'!K45</f>
        <v>8415</v>
      </c>
      <c r="L10" s="7">
        <f>'Sales Forecast'!L39+'Sales Forecast'!L45</f>
        <v>9180</v>
      </c>
      <c r="M10" s="7">
        <f>'Sales Forecast'!M39+'Sales Forecast'!M45</f>
        <v>9945</v>
      </c>
      <c r="N10" s="7">
        <f>'Sales Forecast'!N39+'Sales Forecast'!N45</f>
        <v>10710</v>
      </c>
      <c r="O10" s="7">
        <f>'Sales Forecast'!O39+'Sales Forecast'!O45</f>
        <v>11475</v>
      </c>
      <c r="Q10" s="7">
        <f t="shared" si="1"/>
        <v>1530</v>
      </c>
      <c r="R10" s="7">
        <f t="shared" si="2"/>
        <v>10710</v>
      </c>
      <c r="S10" s="7">
        <f t="shared" si="3"/>
        <v>25245</v>
      </c>
      <c r="T10" s="7">
        <f t="shared" si="4"/>
        <v>32130</v>
      </c>
      <c r="V10" s="7">
        <f t="shared" si="5"/>
        <v>69615</v>
      </c>
      <c r="W10" s="41">
        <v>0</v>
      </c>
    </row>
    <row r="11" spans="3:23" x14ac:dyDescent="0.2">
      <c r="C11" s="19" t="s">
        <v>13</v>
      </c>
      <c r="D11" s="7">
        <f>'Sales Forecast'!D40+'Sales Forecast'!D46</f>
        <v>0</v>
      </c>
      <c r="E11" s="7">
        <f>'Sales Forecast'!E40+'Sales Forecast'!E46</f>
        <v>0</v>
      </c>
      <c r="F11" s="7">
        <f>'Sales Forecast'!F40+'Sales Forecast'!F46</f>
        <v>0</v>
      </c>
      <c r="G11" s="7">
        <f>'Sales Forecast'!G40+'Sales Forecast'!G46</f>
        <v>765</v>
      </c>
      <c r="H11" s="7">
        <f>'Sales Forecast'!H40+'Sales Forecast'!H46</f>
        <v>1530</v>
      </c>
      <c r="I11" s="7">
        <f>'Sales Forecast'!I40+'Sales Forecast'!I46</f>
        <v>2295</v>
      </c>
      <c r="J11" s="7">
        <f>'Sales Forecast'!J40+'Sales Forecast'!J46</f>
        <v>4590</v>
      </c>
      <c r="K11" s="7">
        <f>'Sales Forecast'!K40+'Sales Forecast'!K46</f>
        <v>8415</v>
      </c>
      <c r="L11" s="7">
        <f>'Sales Forecast'!L40+'Sales Forecast'!L46</f>
        <v>13005</v>
      </c>
      <c r="M11" s="7">
        <f>'Sales Forecast'!M40+'Sales Forecast'!M46</f>
        <v>20655</v>
      </c>
      <c r="N11" s="7">
        <f>'Sales Forecast'!N40+'Sales Forecast'!N46</f>
        <v>29070</v>
      </c>
      <c r="O11" s="7">
        <f>'Sales Forecast'!O40+'Sales Forecast'!O46</f>
        <v>38250</v>
      </c>
      <c r="Q11" s="7">
        <f t="shared" si="1"/>
        <v>0</v>
      </c>
      <c r="R11" s="7">
        <f t="shared" si="2"/>
        <v>4590</v>
      </c>
      <c r="S11" s="7">
        <f t="shared" si="3"/>
        <v>26010</v>
      </c>
      <c r="T11" s="7">
        <f t="shared" si="4"/>
        <v>87975</v>
      </c>
      <c r="V11" s="7">
        <f t="shared" si="5"/>
        <v>118575</v>
      </c>
      <c r="W11" s="7">
        <f>SUM('Sales Forecast'!D7:O7)*'Solution Offering'!J8*'Product &amp; Pricing List'!P8*12+SUM('Sales Forecast'!D8:O8)*'Solution Offering'!J8*'Product &amp; Pricing List'!P8*12</f>
        <v>844560</v>
      </c>
    </row>
    <row r="12" spans="3:23" x14ac:dyDescent="0.2">
      <c r="C12" s="17" t="s">
        <v>14</v>
      </c>
      <c r="D12" s="18">
        <f t="shared" ref="D12:O12" si="6">SUM(D8:D11)</f>
        <v>0</v>
      </c>
      <c r="E12" s="18">
        <f t="shared" si="6"/>
        <v>765</v>
      </c>
      <c r="F12" s="18">
        <f t="shared" si="6"/>
        <v>765</v>
      </c>
      <c r="G12" s="18">
        <f t="shared" si="6"/>
        <v>10560</v>
      </c>
      <c r="H12" s="18">
        <f t="shared" si="6"/>
        <v>20355</v>
      </c>
      <c r="I12" s="18">
        <f t="shared" si="6"/>
        <v>29385</v>
      </c>
      <c r="J12" s="18">
        <f t="shared" si="6"/>
        <v>57240</v>
      </c>
      <c r="K12" s="18">
        <f t="shared" si="6"/>
        <v>99330</v>
      </c>
      <c r="L12" s="18">
        <f t="shared" si="6"/>
        <v>149685</v>
      </c>
      <c r="M12" s="18">
        <f t="shared" si="6"/>
        <v>233100</v>
      </c>
      <c r="N12" s="18">
        <f t="shared" si="6"/>
        <v>324780</v>
      </c>
      <c r="O12" s="18">
        <f t="shared" si="6"/>
        <v>424725</v>
      </c>
      <c r="Q12" s="18">
        <f>SUM(Q8:Q11)</f>
        <v>1530</v>
      </c>
      <c r="R12" s="18">
        <f>SUM(R8:R11)</f>
        <v>60300</v>
      </c>
      <c r="S12" s="18">
        <f>SUM(S8:S11)</f>
        <v>306255</v>
      </c>
      <c r="T12" s="18">
        <f>SUM(T8:T11)</f>
        <v>982605</v>
      </c>
      <c r="V12" s="18">
        <f>SUM(V8:V11)</f>
        <v>1350690</v>
      </c>
      <c r="W12" s="18">
        <f>SUM(W8:W11)</f>
        <v>9124560</v>
      </c>
    </row>
    <row r="13" spans="3:23" s="15" customFormat="1" ht="13" x14ac:dyDescent="0.2">
      <c r="C13" s="15" t="s">
        <v>15</v>
      </c>
      <c r="D13" s="21">
        <f t="shared" ref="D13:O13" si="7">SUM(D8:D8)*12</f>
        <v>0</v>
      </c>
      <c r="E13" s="21">
        <f t="shared" si="7"/>
        <v>0</v>
      </c>
      <c r="F13" s="21">
        <f t="shared" si="7"/>
        <v>0</v>
      </c>
      <c r="G13" s="21">
        <f t="shared" si="7"/>
        <v>90000</v>
      </c>
      <c r="H13" s="21">
        <f t="shared" si="7"/>
        <v>180000</v>
      </c>
      <c r="I13" s="21">
        <f t="shared" si="7"/>
        <v>270000</v>
      </c>
      <c r="J13" s="21">
        <f t="shared" si="7"/>
        <v>540000</v>
      </c>
      <c r="K13" s="21">
        <f t="shared" si="7"/>
        <v>990000</v>
      </c>
      <c r="L13" s="21">
        <f t="shared" si="7"/>
        <v>1530000</v>
      </c>
      <c r="M13" s="21">
        <f t="shared" si="7"/>
        <v>2430000</v>
      </c>
      <c r="N13" s="21">
        <f t="shared" si="7"/>
        <v>3420000</v>
      </c>
      <c r="O13" s="21">
        <f t="shared" si="7"/>
        <v>4500000</v>
      </c>
      <c r="Q13" s="21">
        <f>F13</f>
        <v>0</v>
      </c>
      <c r="R13" s="21">
        <f>I13</f>
        <v>270000</v>
      </c>
      <c r="S13" s="21">
        <f>L13</f>
        <v>1530000</v>
      </c>
      <c r="T13" s="21">
        <f>O13</f>
        <v>4500000</v>
      </c>
      <c r="V13" s="21">
        <f>T13</f>
        <v>4500000</v>
      </c>
      <c r="W13" s="21">
        <f>SUM(W8:W8)</f>
        <v>8280000</v>
      </c>
    </row>
    <row r="14" spans="3:23" s="15" customFormat="1" ht="13" x14ac:dyDescent="0.2">
      <c r="C14" s="15" t="s">
        <v>16</v>
      </c>
      <c r="D14" s="23" t="str">
        <f t="shared" ref="D14:O14" si="8">IFERROR(SUM(D8:D8)/D$12,"nm")</f>
        <v>nm</v>
      </c>
      <c r="E14" s="23">
        <f t="shared" si="8"/>
        <v>0</v>
      </c>
      <c r="F14" s="23">
        <f t="shared" si="8"/>
        <v>0</v>
      </c>
      <c r="G14" s="23">
        <f t="shared" si="8"/>
        <v>0.71022727272727271</v>
      </c>
      <c r="H14" s="23">
        <f t="shared" si="8"/>
        <v>0.73691967575534267</v>
      </c>
      <c r="I14" s="23">
        <f t="shared" si="8"/>
        <v>0.76569678407350694</v>
      </c>
      <c r="J14" s="23">
        <f t="shared" si="8"/>
        <v>0.78616352201257866</v>
      </c>
      <c r="K14" s="23">
        <f t="shared" si="8"/>
        <v>0.83056478405315615</v>
      </c>
      <c r="L14" s="23">
        <f t="shared" si="8"/>
        <v>0.85178875638841567</v>
      </c>
      <c r="M14" s="23">
        <f t="shared" si="8"/>
        <v>0.86872586872586877</v>
      </c>
      <c r="N14" s="23">
        <f t="shared" si="8"/>
        <v>0.87751708849067056</v>
      </c>
      <c r="O14" s="23">
        <f t="shared" si="8"/>
        <v>0.88292424509977041</v>
      </c>
      <c r="P14" s="24"/>
      <c r="Q14" s="23">
        <f>IFERROR(SUM(Q8:Q8)/Q$12,"nm")</f>
        <v>0</v>
      </c>
      <c r="R14" s="23">
        <f>IFERROR(SUM(R8:R8)/R$12,"nm")</f>
        <v>0.74626865671641796</v>
      </c>
      <c r="S14" s="23">
        <f>IFERROR(SUM(S8:S8)/S$12,"nm")</f>
        <v>0.83263946711074099</v>
      </c>
      <c r="T14" s="23">
        <f>IFERROR(SUM(T8:T8)/T$12,"nm")</f>
        <v>0.87776878806845071</v>
      </c>
      <c r="U14" s="24"/>
      <c r="V14" s="23">
        <f>IFERROR(SUM(V8:V8)/V$12,"nm")</f>
        <v>0.86067121249139333</v>
      </c>
      <c r="W14" s="23">
        <f>IFERROR(SUM(W8:W8)/W$12,"nm")</f>
        <v>0.90744101633393826</v>
      </c>
    </row>
    <row r="15" spans="3:23" s="15" customFormat="1" ht="13" x14ac:dyDescent="0.2">
      <c r="C15" s="15" t="s">
        <v>17</v>
      </c>
      <c r="D15" s="23" t="str">
        <f>IFERROR(SUM(D9:D11)/D$12,"nm")</f>
        <v>nm</v>
      </c>
      <c r="E15" s="23">
        <f t="shared" ref="E15:O15" si="9">IFERROR(SUM(E9:E11)/E$12,"nm")</f>
        <v>1</v>
      </c>
      <c r="F15" s="23">
        <f t="shared" si="9"/>
        <v>1</v>
      </c>
      <c r="G15" s="23">
        <f t="shared" si="9"/>
        <v>0.28977272727272729</v>
      </c>
      <c r="H15" s="23">
        <f t="shared" si="9"/>
        <v>0.26308032424465733</v>
      </c>
      <c r="I15" s="23">
        <f t="shared" si="9"/>
        <v>0.23430321592649311</v>
      </c>
      <c r="J15" s="23">
        <f t="shared" si="9"/>
        <v>0.21383647798742139</v>
      </c>
      <c r="K15" s="23">
        <f t="shared" si="9"/>
        <v>0.16943521594684385</v>
      </c>
      <c r="L15" s="23">
        <f t="shared" si="9"/>
        <v>0.14821124361158433</v>
      </c>
      <c r="M15" s="23">
        <f t="shared" si="9"/>
        <v>0.13127413127413126</v>
      </c>
      <c r="N15" s="23">
        <f t="shared" si="9"/>
        <v>0.1224829115093294</v>
      </c>
      <c r="O15" s="23">
        <f t="shared" si="9"/>
        <v>0.11707575490022956</v>
      </c>
      <c r="P15" s="24"/>
      <c r="Q15" s="23">
        <f t="shared" ref="Q15:T15" si="10">IFERROR(SUM(Q9:Q11)/Q$12,"nm")</f>
        <v>1</v>
      </c>
      <c r="R15" s="23">
        <f t="shared" si="10"/>
        <v>0.2537313432835821</v>
      </c>
      <c r="S15" s="23">
        <f t="shared" si="10"/>
        <v>0.16736053288925895</v>
      </c>
      <c r="T15" s="23">
        <f t="shared" si="10"/>
        <v>0.1222312119315493</v>
      </c>
      <c r="U15" s="24"/>
      <c r="V15" s="23">
        <f t="shared" ref="V15:W15" si="11">IFERROR(SUM(V9:V11)/V$12,"nm")</f>
        <v>0.13932878750860672</v>
      </c>
      <c r="W15" s="23">
        <f t="shared" si="11"/>
        <v>9.2558983666061703E-2</v>
      </c>
    </row>
    <row r="16" spans="3:23" ht="6" customHeight="1" x14ac:dyDescent="0.2"/>
    <row r="17" spans="3:24" x14ac:dyDescent="0.2">
      <c r="C17" s="17" t="s">
        <v>18</v>
      </c>
    </row>
    <row r="18" spans="3:24" x14ac:dyDescent="0.2">
      <c r="C18" s="19" t="s">
        <v>10</v>
      </c>
      <c r="D18" s="7">
        <f>Labor!F40+Labor!F46+'Third Party Software'!E24+'Third Party Software'!E30+'Hosting &amp; Internet Fees'!F22+'Hosting &amp; Internet Fees'!F30+Other!E14+Other!E20</f>
        <v>350</v>
      </c>
      <c r="E18" s="7">
        <f>Labor!G40+Labor!G46+'Third Party Software'!F24+'Third Party Software'!F30+'Hosting &amp; Internet Fees'!G22+'Hosting &amp; Internet Fees'!G30+Other!F14+Other!F20</f>
        <v>367.5</v>
      </c>
      <c r="F18" s="7">
        <f>Labor!H40+Labor!H46+'Third Party Software'!G24+'Third Party Software'!G30+'Hosting &amp; Internet Fees'!H22+'Hosting &amp; Internet Fees'!H30+Other!G14+Other!G20</f>
        <v>385.875</v>
      </c>
      <c r="G18" s="7">
        <f>Labor!I40+Labor!I46+'Third Party Software'!H24+'Third Party Software'!H30+'Hosting &amp; Internet Fees'!I22+'Hosting &amp; Internet Fees'!I30+Other!H14+Other!H20</f>
        <v>31395.679326923084</v>
      </c>
      <c r="H18" s="7">
        <f>Labor!J40+Labor!J46+'Third Party Software'!I24+'Third Party Software'!I30+'Hosting &amp; Internet Fees'!J22+'Hosting &amp; Internet Fees'!J30+Other!I14+Other!I20</f>
        <v>62458.541466346163</v>
      </c>
      <c r="I18" s="7">
        <f>Labor!K40+Labor!K46+'Third Party Software'!J24+'Third Party Software'!J30+'Hosting &amp; Internet Fees'!K22+'Hosting &amp; Internet Fees'!K30+Other!J14+Other!J20</f>
        <v>93549.138371394249</v>
      </c>
      <c r="J18" s="7">
        <f>Labor!L40+Labor!L46+'Third Party Software'!K24+'Third Party Software'!K30+'Hosting &amp; Internet Fees'!L22+'Hosting &amp; Internet Fees'!L30+Other!K14+Other!K20</f>
        <v>186751.592172476</v>
      </c>
      <c r="K18" s="7">
        <f>Labor!M40+Labor!M46+'Third Party Software'!L24+'Third Party Software'!L30+'Hosting &amp; Internet Fees'!M22+'Hosting &amp; Internet Fees'!M30+Other!L14+Other!L20</f>
        <v>343431.23441256018</v>
      </c>
      <c r="L18" s="7">
        <f>Labor!N40+Labor!N46+'Third Party Software'!M24+'Third Party Software'!M30+'Hosting &amp; Internet Fees'!N22+'Hosting &amp; Internet Fees'!N30+Other!M14+Other!M20</f>
        <v>530078.82121394237</v>
      </c>
      <c r="M18" s="7">
        <f>Labor!O40+Labor!O46+'Third Party Software'!N24+'Third Party Software'!N30+'Hosting &amp; Internet Fees'!O22+'Hosting &amp; Internet Fees'!O30+Other!N14+Other!N20</f>
        <v>842495.72932692326</v>
      </c>
      <c r="N18" s="7">
        <f>Labor!P40+Labor!P46+'Third Party Software'!O24+'Third Party Software'!O30+'Hosting &amp; Internet Fees'!P22+'Hosting &amp; Internet Fees'!P30+Other!O14+Other!O20</f>
        <v>1185762.5475480771</v>
      </c>
      <c r="O18" s="7">
        <f>Labor!Q40+Labor!Q46+'Third Party Software'!P24+'Third Party Software'!P30+'Hosting &amp; Internet Fees'!Q22+'Hosting &amp; Internet Fees'!Q30+Other!P14+Other!P20</f>
        <v>1563338.2539086542</v>
      </c>
      <c r="Q18" s="7">
        <f t="shared" ref="Q18:Q21" si="12">SUM(D18:F18)</f>
        <v>1103.375</v>
      </c>
      <c r="R18" s="7">
        <f t="shared" ref="R18:R21" si="13">SUM(G18:I18)</f>
        <v>187403.3591646635</v>
      </c>
      <c r="S18" s="7">
        <f t="shared" ref="S18:S21" si="14">SUM(J18:L18)</f>
        <v>1060261.6477989787</v>
      </c>
      <c r="T18" s="7">
        <f t="shared" ref="T18:T21" si="15">SUM(M18:O18)</f>
        <v>3591596.5307836547</v>
      </c>
      <c r="V18" s="7">
        <f t="shared" ref="V18:V21" si="16">SUM(Q18:T18)</f>
        <v>4840364.9127472974</v>
      </c>
      <c r="W18" s="7">
        <f>O18*12</f>
        <v>18760059.046903849</v>
      </c>
    </row>
    <row r="19" spans="3:24" x14ac:dyDescent="0.2">
      <c r="C19" s="19" t="s">
        <v>11</v>
      </c>
      <c r="D19" s="7">
        <f>Labor!F41+Labor!F47+'Third Party Software'!E25+'Third Party Software'!E31+'Hosting &amp; Internet Fees'!F23+'Hosting &amp; Internet Fees'!F31+Other!E15+Other!E21</f>
        <v>0</v>
      </c>
      <c r="E19" s="7">
        <f>Labor!G41+Labor!G47+'Third Party Software'!F25+'Third Party Software'!F31+'Hosting &amp; Internet Fees'!G23+'Hosting &amp; Internet Fees'!G31+Other!F15+Other!F21</f>
        <v>0</v>
      </c>
      <c r="F19" s="7">
        <f>Labor!H41+Labor!H47+'Third Party Software'!G25+'Third Party Software'!G31+'Hosting &amp; Internet Fees'!H23+'Hosting &amp; Internet Fees'!H31+Other!G15+Other!G21</f>
        <v>0</v>
      </c>
      <c r="G19" s="7">
        <f>Labor!I41+Labor!I47+'Third Party Software'!H25+'Third Party Software'!H31+'Hosting &amp; Internet Fees'!I23+'Hosting &amp; Internet Fees'!I31+Other!H15+Other!H21</f>
        <v>0</v>
      </c>
      <c r="H19" s="7">
        <f>Labor!J41+Labor!J47+'Third Party Software'!I25+'Third Party Software'!I31+'Hosting &amp; Internet Fees'!J23+'Hosting &amp; Internet Fees'!J31+Other!I15+Other!I21</f>
        <v>0</v>
      </c>
      <c r="I19" s="7">
        <f>Labor!K41+Labor!K47+'Third Party Software'!J25+'Third Party Software'!J31+'Hosting &amp; Internet Fees'!K23+'Hosting &amp; Internet Fees'!K31+Other!J15+Other!J21</f>
        <v>0</v>
      </c>
      <c r="J19" s="7">
        <f>Labor!L41+Labor!L47+'Third Party Software'!K25+'Third Party Software'!K31+'Hosting &amp; Internet Fees'!L23+'Hosting &amp; Internet Fees'!L31+Other!K15+Other!K21</f>
        <v>0</v>
      </c>
      <c r="K19" s="7">
        <f>Labor!M41+Labor!M47+'Third Party Software'!L25+'Third Party Software'!L31+'Hosting &amp; Internet Fees'!M23+'Hosting &amp; Internet Fees'!M31+Other!L15+Other!L21</f>
        <v>0</v>
      </c>
      <c r="L19" s="7">
        <f>Labor!N41+Labor!N47+'Third Party Software'!M25+'Third Party Software'!M31+'Hosting &amp; Internet Fees'!N23+'Hosting &amp; Internet Fees'!N31+Other!M15+Other!M21</f>
        <v>0</v>
      </c>
      <c r="M19" s="7">
        <f>Labor!O41+Labor!O47+'Third Party Software'!N25+'Third Party Software'!N31+'Hosting &amp; Internet Fees'!O23+'Hosting &amp; Internet Fees'!O31+Other!N15+Other!N21</f>
        <v>0</v>
      </c>
      <c r="N19" s="7">
        <f>Labor!P41+Labor!P47+'Third Party Software'!O25+'Third Party Software'!O31+'Hosting &amp; Internet Fees'!P23+'Hosting &amp; Internet Fees'!P31+Other!O15+Other!O21</f>
        <v>0</v>
      </c>
      <c r="O19" s="7">
        <f>Labor!Q41+Labor!Q47+'Third Party Software'!P25+'Third Party Software'!P31+'Hosting &amp; Internet Fees'!Q23+'Hosting &amp; Internet Fees'!Q31+Other!P15+Other!P21</f>
        <v>0</v>
      </c>
      <c r="Q19" s="7">
        <f t="shared" si="12"/>
        <v>0</v>
      </c>
      <c r="R19" s="7">
        <f t="shared" si="13"/>
        <v>0</v>
      </c>
      <c r="S19" s="7">
        <f t="shared" si="14"/>
        <v>0</v>
      </c>
      <c r="T19" s="7">
        <f t="shared" si="15"/>
        <v>0</v>
      </c>
      <c r="V19" s="7">
        <f t="shared" si="16"/>
        <v>0</v>
      </c>
      <c r="W19" s="41">
        <v>0</v>
      </c>
    </row>
    <row r="20" spans="3:24" x14ac:dyDescent="0.2">
      <c r="C20" s="19" t="s">
        <v>12</v>
      </c>
      <c r="D20" s="7">
        <f>Labor!F42+Labor!F48+'Third Party Software'!E26+'Third Party Software'!E32+'Hosting &amp; Internet Fees'!F24+'Hosting &amp; Internet Fees'!F32+Other!E16+Other!E22</f>
        <v>0</v>
      </c>
      <c r="E20" s="7">
        <f>Labor!G42+Labor!G48+'Third Party Software'!F26+'Third Party Software'!F32+'Hosting &amp; Internet Fees'!G24+'Hosting &amp; Internet Fees'!G32+Other!F16+Other!F22</f>
        <v>462.87259615384625</v>
      </c>
      <c r="F20" s="7">
        <f>Labor!H42+Labor!H48+'Third Party Software'!G26+'Third Party Software'!G32+'Hosting &amp; Internet Fees'!H24+'Hosting &amp; Internet Fees'!H32+Other!G16+Other!G22</f>
        <v>462.87259615384625</v>
      </c>
      <c r="G20" s="7">
        <f>Labor!I42+Labor!I48+'Third Party Software'!H26+'Third Party Software'!H32+'Hosting &amp; Internet Fees'!I24+'Hosting &amp; Internet Fees'!I32+Other!H16+Other!H22</f>
        <v>1388.6177884615388</v>
      </c>
      <c r="H20" s="7">
        <f>Labor!J42+Labor!J48+'Third Party Software'!I26+'Third Party Software'!I32+'Hosting &amp; Internet Fees'!J24+'Hosting &amp; Internet Fees'!J32+Other!I16+Other!I22</f>
        <v>2314.3629807692314</v>
      </c>
      <c r="I20" s="7">
        <f>Labor!K42+Labor!K48+'Third Party Software'!J26+'Third Party Software'!J32+'Hosting &amp; Internet Fees'!K24+'Hosting &amp; Internet Fees'!K32+Other!J16+Other!J22</f>
        <v>2777.2355769230776</v>
      </c>
      <c r="J20" s="7">
        <f>Labor!L42+Labor!L48+'Third Party Software'!K26+'Third Party Software'!K32+'Hosting &amp; Internet Fees'!L24+'Hosting &amp; Internet Fees'!L32+Other!K16+Other!K22</f>
        <v>4628.7259615384628</v>
      </c>
      <c r="K20" s="7">
        <f>Labor!M42+Labor!M48+'Third Party Software'!L26+'Third Party Software'!L32+'Hosting &amp; Internet Fees'!M24+'Hosting &amp; Internet Fees'!M32+Other!L16+Other!L22</f>
        <v>5091.5985576923094</v>
      </c>
      <c r="L20" s="7">
        <f>Labor!N42+Labor!N48+'Third Party Software'!M26+'Third Party Software'!M32+'Hosting &amp; Internet Fees'!N24+'Hosting &amp; Internet Fees'!N32+Other!M16+Other!M22</f>
        <v>5554.4711538461552</v>
      </c>
      <c r="M20" s="7">
        <f>Labor!O42+Labor!O48+'Third Party Software'!N26+'Third Party Software'!N32+'Hosting &amp; Internet Fees'!O24+'Hosting &amp; Internet Fees'!O32+Other!N16+Other!N22</f>
        <v>6017.3437500000018</v>
      </c>
      <c r="N20" s="7">
        <f>Labor!P42+Labor!P48+'Third Party Software'!O26+'Third Party Software'!O32+'Hosting &amp; Internet Fees'!P24+'Hosting &amp; Internet Fees'!P32+Other!O16+Other!O22</f>
        <v>6480.2163461538476</v>
      </c>
      <c r="O20" s="7">
        <f>Labor!Q42+Labor!Q48+'Third Party Software'!P26+'Third Party Software'!P32+'Hosting &amp; Internet Fees'!Q24+'Hosting &amp; Internet Fees'!Q32+Other!P16+Other!P22</f>
        <v>6943.0889423076942</v>
      </c>
      <c r="Q20" s="7">
        <f t="shared" si="12"/>
        <v>925.74519230769249</v>
      </c>
      <c r="R20" s="7">
        <f t="shared" si="13"/>
        <v>6480.2163461538476</v>
      </c>
      <c r="S20" s="7">
        <f t="shared" si="14"/>
        <v>15274.795673076929</v>
      </c>
      <c r="T20" s="7">
        <f t="shared" si="15"/>
        <v>19440.649038461543</v>
      </c>
      <c r="V20" s="7">
        <f t="shared" si="16"/>
        <v>42121.406250000015</v>
      </c>
      <c r="W20" s="41">
        <v>0</v>
      </c>
    </row>
    <row r="21" spans="3:24" x14ac:dyDescent="0.2">
      <c r="C21" s="19" t="s">
        <v>13</v>
      </c>
      <c r="D21" s="7">
        <f>Labor!F43+Labor!F49+'Third Party Software'!E27+'Third Party Software'!E33+'Hosting &amp; Internet Fees'!F25+'Hosting &amp; Internet Fees'!F33+Other!E17+Other!E23</f>
        <v>0</v>
      </c>
      <c r="E21" s="7">
        <f>Labor!G43+Labor!G49+'Third Party Software'!F27+'Third Party Software'!F33+'Hosting &amp; Internet Fees'!G25+'Hosting &amp; Internet Fees'!G33+Other!F17+Other!F23</f>
        <v>0</v>
      </c>
      <c r="F21" s="7">
        <f>Labor!H43+Labor!H49+'Third Party Software'!G27+'Third Party Software'!G33+'Hosting &amp; Internet Fees'!H25+'Hosting &amp; Internet Fees'!H33+Other!G17+Other!G23</f>
        <v>0</v>
      </c>
      <c r="G21" s="7">
        <f>Labor!I43+Labor!I49+'Third Party Software'!H27+'Third Party Software'!H33+'Hosting &amp; Internet Fees'!I25+'Hosting &amp; Internet Fees'!I33+Other!H17+Other!H23</f>
        <v>462.87259615384625</v>
      </c>
      <c r="H21" s="7">
        <f>Labor!J43+Labor!J49+'Third Party Software'!I27+'Third Party Software'!I33+'Hosting &amp; Internet Fees'!J25+'Hosting &amp; Internet Fees'!J33+Other!I17+Other!I23</f>
        <v>925.74519230769249</v>
      </c>
      <c r="I21" s="7">
        <f>Labor!K43+Labor!K49+'Third Party Software'!J27+'Third Party Software'!J33+'Hosting &amp; Internet Fees'!K25+'Hosting &amp; Internet Fees'!K33+Other!J17+Other!J23</f>
        <v>1388.6177884615388</v>
      </c>
      <c r="J21" s="7">
        <f>Labor!L43+Labor!L49+'Third Party Software'!K27+'Third Party Software'!K33+'Hosting &amp; Internet Fees'!L25+'Hosting &amp; Internet Fees'!L33+Other!K17+Other!K23</f>
        <v>2777.2355769230776</v>
      </c>
      <c r="K21" s="7">
        <f>Labor!M43+Labor!M49+'Third Party Software'!L27+'Third Party Software'!L33+'Hosting &amp; Internet Fees'!M25+'Hosting &amp; Internet Fees'!M33+Other!L17+Other!L23</f>
        <v>5091.5985576923085</v>
      </c>
      <c r="L21" s="7">
        <f>Labor!N43+Labor!N49+'Third Party Software'!M27+'Third Party Software'!M33+'Hosting &amp; Internet Fees'!N25+'Hosting &amp; Internet Fees'!N33+Other!M17+Other!M23</f>
        <v>7868.8341346153866</v>
      </c>
      <c r="M21" s="7">
        <f>Labor!O43+Labor!O49+'Third Party Software'!N27+'Third Party Software'!N33+'Hosting &amp; Internet Fees'!O25+'Hosting &amp; Internet Fees'!O33+Other!N17+Other!N23</f>
        <v>12497.560096153848</v>
      </c>
      <c r="N21" s="7">
        <f>Labor!P43+Labor!P49+'Third Party Software'!O27+'Third Party Software'!O33+'Hosting &amp; Internet Fees'!P25+'Hosting &amp; Internet Fees'!P33+Other!O17+Other!O23</f>
        <v>17589.158653846156</v>
      </c>
      <c r="O21" s="7">
        <f>Labor!Q43+Labor!Q49+'Third Party Software'!P27+'Third Party Software'!P33+'Hosting &amp; Internet Fees'!Q25+'Hosting &amp; Internet Fees'!Q33+Other!P17+Other!P23</f>
        <v>23143.629807692312</v>
      </c>
      <c r="Q21" s="7">
        <f t="shared" si="12"/>
        <v>0</v>
      </c>
      <c r="R21" s="7">
        <f t="shared" si="13"/>
        <v>2777.2355769230776</v>
      </c>
      <c r="S21" s="7">
        <f t="shared" si="14"/>
        <v>15737.668269230773</v>
      </c>
      <c r="T21" s="7">
        <f t="shared" si="15"/>
        <v>53230.348557692312</v>
      </c>
      <c r="V21" s="7">
        <f t="shared" si="16"/>
        <v>71745.252403846156</v>
      </c>
      <c r="W21" s="7">
        <f>SUM('Sales Forecast'!D7:O8)*'Solution Offering'!J8*Labor!X20*12</f>
        <v>511011.34615384624</v>
      </c>
    </row>
    <row r="22" spans="3:24" x14ac:dyDescent="0.2">
      <c r="C22" s="17" t="s">
        <v>19</v>
      </c>
      <c r="D22" s="18">
        <f t="shared" ref="D22:O22" si="17">SUM(D18:D21)</f>
        <v>350</v>
      </c>
      <c r="E22" s="18">
        <f t="shared" si="17"/>
        <v>830.37259615384619</v>
      </c>
      <c r="F22" s="18">
        <f t="shared" si="17"/>
        <v>848.74759615384619</v>
      </c>
      <c r="G22" s="18">
        <f t="shared" si="17"/>
        <v>33247.169711538467</v>
      </c>
      <c r="H22" s="18">
        <f t="shared" si="17"/>
        <v>65698.649639423093</v>
      </c>
      <c r="I22" s="18">
        <f t="shared" si="17"/>
        <v>97714.991736778858</v>
      </c>
      <c r="J22" s="18">
        <f t="shared" si="17"/>
        <v>194157.55371093753</v>
      </c>
      <c r="K22" s="18">
        <f t="shared" si="17"/>
        <v>353614.43152794481</v>
      </c>
      <c r="L22" s="18">
        <f t="shared" si="17"/>
        <v>543502.12650240387</v>
      </c>
      <c r="M22" s="18">
        <f t="shared" si="17"/>
        <v>861010.63317307713</v>
      </c>
      <c r="N22" s="18">
        <f t="shared" si="17"/>
        <v>1209831.9225480771</v>
      </c>
      <c r="O22" s="18">
        <f t="shared" si="17"/>
        <v>1593424.9726586542</v>
      </c>
      <c r="Q22" s="18">
        <f>SUM(Q18:Q21)</f>
        <v>2029.1201923076924</v>
      </c>
      <c r="R22" s="18">
        <f>SUM(R18:R21)</f>
        <v>196660.81108774041</v>
      </c>
      <c r="S22" s="18">
        <f>SUM(S18:S21)</f>
        <v>1091274.1117412865</v>
      </c>
      <c r="T22" s="18">
        <f>SUM(T18:T21)</f>
        <v>3664267.5283798086</v>
      </c>
      <c r="V22" s="18">
        <f>SUM(V18:V21)</f>
        <v>4954231.5714011434</v>
      </c>
      <c r="W22" s="18">
        <f>SUM(W18:W21)</f>
        <v>19271070.393057697</v>
      </c>
    </row>
    <row r="23" spans="3:24" s="15" customFormat="1" ht="13" x14ac:dyDescent="0.2">
      <c r="C23" s="15" t="s">
        <v>20</v>
      </c>
      <c r="D23" s="23" t="str">
        <f>IFERROR(D22/D$12,"nm")</f>
        <v>nm</v>
      </c>
      <c r="E23" s="23">
        <f t="shared" ref="E23:O23" si="18">IFERROR(E22/E$12,"nm")</f>
        <v>1.0854543740573153</v>
      </c>
      <c r="F23" s="23">
        <f t="shared" si="18"/>
        <v>1.1094739819004524</v>
      </c>
      <c r="G23" s="23">
        <f t="shared" si="18"/>
        <v>3.1484062226835667</v>
      </c>
      <c r="H23" s="23">
        <f t="shared" si="18"/>
        <v>3.2276418393231685</v>
      </c>
      <c r="I23" s="23">
        <f t="shared" si="18"/>
        <v>3.3253357746053722</v>
      </c>
      <c r="J23" s="23">
        <f t="shared" si="18"/>
        <v>3.3919908055719343</v>
      </c>
      <c r="K23" s="23">
        <f t="shared" si="18"/>
        <v>3.5599962904252975</v>
      </c>
      <c r="L23" s="23">
        <f t="shared" si="18"/>
        <v>3.6309725523760155</v>
      </c>
      <c r="M23" s="23">
        <f t="shared" si="18"/>
        <v>3.6937393100518108</v>
      </c>
      <c r="N23" s="23">
        <f t="shared" si="18"/>
        <v>3.7250813552191548</v>
      </c>
      <c r="O23" s="23">
        <f t="shared" si="18"/>
        <v>3.7516627762873722</v>
      </c>
      <c r="P23" s="24"/>
      <c r="Q23" s="23">
        <f t="shared" ref="Q23:T23" si="19">IFERROR(Q22/Q$12,"nm")</f>
        <v>1.3262223479135244</v>
      </c>
      <c r="R23" s="23">
        <f t="shared" si="19"/>
        <v>3.26137331820465</v>
      </c>
      <c r="S23" s="23">
        <f t="shared" si="19"/>
        <v>3.5632858622431844</v>
      </c>
      <c r="T23" s="23">
        <f t="shared" si="19"/>
        <v>3.7291358464284312</v>
      </c>
      <c r="U23" s="24"/>
      <c r="V23" s="23">
        <f>IFERROR(V22/V$12,"nm")</f>
        <v>3.6679264460395378</v>
      </c>
      <c r="W23" s="23">
        <f>IFERROR(W22/W$12,"nm")</f>
        <v>2.1119999641689788</v>
      </c>
    </row>
    <row r="24" spans="3:24" ht="6" customHeight="1" x14ac:dyDescent="0.2"/>
    <row r="25" spans="3:24" ht="15" thickBot="1" x14ac:dyDescent="0.25">
      <c r="C25" s="17" t="s">
        <v>21</v>
      </c>
      <c r="D25" s="25">
        <f t="shared" ref="D25:O25" si="20">D12-D22</f>
        <v>-350</v>
      </c>
      <c r="E25" s="25">
        <f t="shared" si="20"/>
        <v>-65.372596153846189</v>
      </c>
      <c r="F25" s="25">
        <f t="shared" si="20"/>
        <v>-83.747596153846189</v>
      </c>
      <c r="G25" s="25">
        <f t="shared" si="20"/>
        <v>-22687.169711538467</v>
      </c>
      <c r="H25" s="25">
        <f t="shared" si="20"/>
        <v>-45343.649639423093</v>
      </c>
      <c r="I25" s="25">
        <f t="shared" si="20"/>
        <v>-68329.991736778858</v>
      </c>
      <c r="J25" s="25">
        <f t="shared" si="20"/>
        <v>-136917.55371093753</v>
      </c>
      <c r="K25" s="25">
        <f t="shared" si="20"/>
        <v>-254284.43152794481</v>
      </c>
      <c r="L25" s="25">
        <f t="shared" si="20"/>
        <v>-393817.12650240387</v>
      </c>
      <c r="M25" s="25">
        <f t="shared" si="20"/>
        <v>-627910.63317307713</v>
      </c>
      <c r="N25" s="25">
        <f t="shared" si="20"/>
        <v>-885051.92254807707</v>
      </c>
      <c r="O25" s="25">
        <f t="shared" si="20"/>
        <v>-1168699.9726586542</v>
      </c>
      <c r="P25" s="17"/>
      <c r="Q25" s="25">
        <f>Q12-Q22</f>
        <v>-499.12019230769238</v>
      </c>
      <c r="R25" s="25">
        <f>R12-R22</f>
        <v>-136360.81108774041</v>
      </c>
      <c r="S25" s="25">
        <f>S12-S22</f>
        <v>-785019.11174128647</v>
      </c>
      <c r="T25" s="25">
        <f>T12-T22</f>
        <v>-2681662.5283798086</v>
      </c>
      <c r="U25" s="17"/>
      <c r="V25" s="25">
        <f>V12-V22</f>
        <v>-3603541.5714011434</v>
      </c>
      <c r="W25" s="25">
        <f>W12-W22</f>
        <v>-10146510.393057697</v>
      </c>
    </row>
    <row r="26" spans="3:24" s="15" customFormat="1" ht="13" outlineLevel="1" x14ac:dyDescent="0.2">
      <c r="C26" s="15" t="s">
        <v>22</v>
      </c>
      <c r="D26" s="23" t="str">
        <f>IFERROR((#REF!-#REF!)/#REF!,"nm")</f>
        <v>nm</v>
      </c>
      <c r="E26" s="23" t="str">
        <f>IFERROR((#REF!-#REF!)/#REF!,"nm")</f>
        <v>nm</v>
      </c>
      <c r="F26" s="23" t="str">
        <f>IFERROR((#REF!-#REF!)/#REF!,"nm")</f>
        <v>nm</v>
      </c>
      <c r="G26" s="23" t="str">
        <f>IFERROR((#REF!-#REF!)/#REF!,"nm")</f>
        <v>nm</v>
      </c>
      <c r="H26" s="23" t="str">
        <f>IFERROR((#REF!-#REF!)/#REF!,"nm")</f>
        <v>nm</v>
      </c>
      <c r="I26" s="23" t="str">
        <f>IFERROR((#REF!-#REF!)/#REF!,"nm")</f>
        <v>nm</v>
      </c>
      <c r="J26" s="23" t="str">
        <f>IFERROR((#REF!-#REF!)/#REF!,"nm")</f>
        <v>nm</v>
      </c>
      <c r="K26" s="23" t="str">
        <f>IFERROR((#REF!-#REF!)/#REF!,"nm")</f>
        <v>nm</v>
      </c>
      <c r="L26" s="23" t="str">
        <f>IFERROR((#REF!-#REF!)/#REF!,"nm")</f>
        <v>nm</v>
      </c>
      <c r="M26" s="23" t="str">
        <f>IFERROR((#REF!-#REF!)/#REF!,"nm")</f>
        <v>nm</v>
      </c>
      <c r="N26" s="23" t="str">
        <f>IFERROR((#REF!-#REF!)/#REF!,"nm")</f>
        <v>nm</v>
      </c>
      <c r="O26" s="23" t="str">
        <f>IFERROR((#REF!-#REF!)/#REF!,"nm")</f>
        <v>nm</v>
      </c>
      <c r="P26" s="24"/>
      <c r="Q26" s="23" t="str">
        <f>IFERROR((#REF!-#REF!)/#REF!,"nm")</f>
        <v>nm</v>
      </c>
      <c r="R26" s="23" t="str">
        <f>IFERROR((#REF!-#REF!)/#REF!,"nm")</f>
        <v>nm</v>
      </c>
      <c r="S26" s="23" t="str">
        <f>IFERROR((#REF!-#REF!)/#REF!,"nm")</f>
        <v>nm</v>
      </c>
      <c r="T26" s="23" t="str">
        <f>IFERROR((#REF!-#REF!)/#REF!,"nm")</f>
        <v>nm</v>
      </c>
      <c r="U26" s="24"/>
      <c r="V26" s="23" t="str">
        <f>IFERROR((#REF!-#REF!)/#REF!,"nm")</f>
        <v>nm</v>
      </c>
      <c r="W26" s="23" t="str">
        <f>IFERROR((#REF!-#REF!)/#REF!,"nm")</f>
        <v>nm</v>
      </c>
    </row>
    <row r="27" spans="3:24" s="15" customFormat="1" ht="13" outlineLevel="1" x14ac:dyDescent="0.2">
      <c r="C27" s="15" t="s">
        <v>23</v>
      </c>
      <c r="D27" s="23" t="str">
        <f>IFERROR((#REF!-#REF!)/#REF!,"nm")</f>
        <v>nm</v>
      </c>
      <c r="E27" s="23" t="str">
        <f>IFERROR((#REF!-#REF!)/#REF!,"nm")</f>
        <v>nm</v>
      </c>
      <c r="F27" s="23" t="str">
        <f>IFERROR((#REF!-#REF!)/#REF!,"nm")</f>
        <v>nm</v>
      </c>
      <c r="G27" s="23" t="str">
        <f>IFERROR((#REF!-#REF!)/#REF!,"nm")</f>
        <v>nm</v>
      </c>
      <c r="H27" s="23" t="str">
        <f>IFERROR((#REF!-#REF!)/#REF!,"nm")</f>
        <v>nm</v>
      </c>
      <c r="I27" s="23" t="str">
        <f>IFERROR((#REF!-#REF!)/#REF!,"nm")</f>
        <v>nm</v>
      </c>
      <c r="J27" s="23" t="str">
        <f>IFERROR((#REF!-#REF!)/#REF!,"nm")</f>
        <v>nm</v>
      </c>
      <c r="K27" s="23" t="str">
        <f>IFERROR((#REF!-#REF!)/#REF!,"nm")</f>
        <v>nm</v>
      </c>
      <c r="L27" s="23" t="str">
        <f>IFERROR((#REF!-#REF!)/#REF!,"nm")</f>
        <v>nm</v>
      </c>
      <c r="M27" s="23" t="str">
        <f>IFERROR((#REF!-#REF!)/#REF!,"nm")</f>
        <v>nm</v>
      </c>
      <c r="N27" s="23" t="str">
        <f>IFERROR((#REF!-#REF!)/#REF!,"nm")</f>
        <v>nm</v>
      </c>
      <c r="O27" s="23" t="str">
        <f>IFERROR((#REF!-#REF!)/#REF!,"nm")</f>
        <v>nm</v>
      </c>
      <c r="P27" s="24"/>
      <c r="Q27" s="23" t="str">
        <f>IFERROR((#REF!-#REF!)/#REF!,"nm")</f>
        <v>nm</v>
      </c>
      <c r="R27" s="23" t="str">
        <f>IFERROR((#REF!-#REF!)/#REF!,"nm")</f>
        <v>nm</v>
      </c>
      <c r="S27" s="23" t="str">
        <f>IFERROR((#REF!-#REF!)/#REF!,"nm")</f>
        <v>nm</v>
      </c>
      <c r="T27" s="23" t="str">
        <f>IFERROR((#REF!-#REF!)/#REF!,"nm")</f>
        <v>nm</v>
      </c>
      <c r="U27" s="24"/>
      <c r="V27" s="23" t="str">
        <f>IFERROR((#REF!-#REF!)/#REF!,"nm")</f>
        <v>nm</v>
      </c>
      <c r="W27" s="23" t="str">
        <f>IFERROR((#REF!-#REF!)/#REF!,"nm")</f>
        <v>nm</v>
      </c>
    </row>
    <row r="28" spans="3:24" s="15" customFormat="1" ht="13" outlineLevel="1" x14ac:dyDescent="0.2">
      <c r="C28" s="15" t="s">
        <v>24</v>
      </c>
      <c r="D28" s="23" t="str">
        <f t="shared" ref="D28:O28" si="21">IFERROR((D8-D18)/D8,"nm")</f>
        <v>nm</v>
      </c>
      <c r="E28" s="23" t="str">
        <f t="shared" si="21"/>
        <v>nm</v>
      </c>
      <c r="F28" s="23" t="str">
        <f t="shared" si="21"/>
        <v>nm</v>
      </c>
      <c r="G28" s="23">
        <f t="shared" si="21"/>
        <v>-3.1860905769230778</v>
      </c>
      <c r="H28" s="23">
        <f t="shared" si="21"/>
        <v>-3.1639027644230775</v>
      </c>
      <c r="I28" s="23">
        <f t="shared" si="21"/>
        <v>-3.1577394831730778</v>
      </c>
      <c r="J28" s="23">
        <f t="shared" si="21"/>
        <v>-3.1500353816105777</v>
      </c>
      <c r="K28" s="23">
        <f t="shared" si="21"/>
        <v>-3.1628028413643658</v>
      </c>
      <c r="L28" s="23">
        <f t="shared" si="21"/>
        <v>-3.1574809506975874</v>
      </c>
      <c r="M28" s="23">
        <f t="shared" si="21"/>
        <v>-3.1604727374169048</v>
      </c>
      <c r="N28" s="23">
        <f t="shared" si="21"/>
        <v>-3.1605703422739548</v>
      </c>
      <c r="O28" s="23">
        <f t="shared" si="21"/>
        <v>-3.1689020104230781</v>
      </c>
      <c r="P28" s="24"/>
      <c r="Q28" s="23" t="str">
        <f>IFERROR((Q8-Q18)/Q8,"nm")</f>
        <v>nm</v>
      </c>
      <c r="R28" s="23">
        <f>IFERROR((R8-R18)/R8,"nm")</f>
        <v>-3.1645190925480779</v>
      </c>
      <c r="S28" s="23">
        <f>IFERROR((S8-S18)/S8,"nm")</f>
        <v>-3.1578888148979556</v>
      </c>
      <c r="T28" s="23">
        <f>IFERROR((T8-T18)/T8,"nm")</f>
        <v>-3.1641698907636577</v>
      </c>
      <c r="U28" s="24"/>
      <c r="V28" s="23">
        <f>IFERROR((V8-V18)/V8,"nm")</f>
        <v>-3.1637547636535892</v>
      </c>
      <c r="W28" s="23">
        <f>IFERROR((W8-W18)/W8,"nm")</f>
        <v>-1.2657076143603683</v>
      </c>
      <c r="X28" s="21"/>
    </row>
    <row r="29" spans="3:24" s="15" customFormat="1" ht="13" outlineLevel="1" x14ac:dyDescent="0.2">
      <c r="C29" s="15" t="s">
        <v>25</v>
      </c>
      <c r="D29" s="23" t="str">
        <f>IFERROR((#REF!-#REF!)/#REF!,"nm")</f>
        <v>nm</v>
      </c>
      <c r="E29" s="23" t="str">
        <f>IFERROR((#REF!-#REF!)/#REF!,"nm")</f>
        <v>nm</v>
      </c>
      <c r="F29" s="23" t="str">
        <f>IFERROR((#REF!-#REF!)/#REF!,"nm")</f>
        <v>nm</v>
      </c>
      <c r="G29" s="23" t="str">
        <f>IFERROR((#REF!-#REF!)/#REF!,"nm")</f>
        <v>nm</v>
      </c>
      <c r="H29" s="23" t="str">
        <f>IFERROR((#REF!-#REF!)/#REF!,"nm")</f>
        <v>nm</v>
      </c>
      <c r="I29" s="23" t="str">
        <f>IFERROR((#REF!-#REF!)/#REF!,"nm")</f>
        <v>nm</v>
      </c>
      <c r="J29" s="23" t="str">
        <f>IFERROR((#REF!-#REF!)/#REF!,"nm")</f>
        <v>nm</v>
      </c>
      <c r="K29" s="23" t="str">
        <f>IFERROR((#REF!-#REF!)/#REF!,"nm")</f>
        <v>nm</v>
      </c>
      <c r="L29" s="23" t="str">
        <f>IFERROR((#REF!-#REF!)/#REF!,"nm")</f>
        <v>nm</v>
      </c>
      <c r="M29" s="23" t="str">
        <f>IFERROR((#REF!-#REF!)/#REF!,"nm")</f>
        <v>nm</v>
      </c>
      <c r="N29" s="23" t="str">
        <f>IFERROR((#REF!-#REF!)/#REF!,"nm")</f>
        <v>nm</v>
      </c>
      <c r="O29" s="23" t="str">
        <f>IFERROR((#REF!-#REF!)/#REF!,"nm")</f>
        <v>nm</v>
      </c>
      <c r="P29" s="24"/>
      <c r="Q29" s="23" t="str">
        <f>IFERROR((#REF!-#REF!)/#REF!,"nm")</f>
        <v>nm</v>
      </c>
      <c r="R29" s="23" t="str">
        <f>IFERROR((#REF!-#REF!)/#REF!,"nm")</f>
        <v>nm</v>
      </c>
      <c r="S29" s="23" t="str">
        <f>IFERROR((#REF!-#REF!)/#REF!,"nm")</f>
        <v>nm</v>
      </c>
      <c r="T29" s="23" t="str">
        <f>IFERROR((#REF!-#REF!)/#REF!,"nm")</f>
        <v>nm</v>
      </c>
      <c r="U29" s="24"/>
      <c r="V29" s="23" t="str">
        <f>IFERROR((#REF!-#REF!)/#REF!,"nm")</f>
        <v>nm</v>
      </c>
      <c r="W29" s="23" t="str">
        <f>IFERROR((#REF!-#REF!)/#REF!,"nm")</f>
        <v>nm</v>
      </c>
    </row>
    <row r="30" spans="3:24" s="15" customFormat="1" ht="13" outlineLevel="1" x14ac:dyDescent="0.2">
      <c r="C30" s="15" t="s">
        <v>26</v>
      </c>
      <c r="D30" s="23" t="str">
        <f t="shared" ref="D30:O30" si="22">IFERROR((D9-D19)/D9,"nm")</f>
        <v>nm</v>
      </c>
      <c r="E30" s="23" t="str">
        <f t="shared" si="22"/>
        <v>nm</v>
      </c>
      <c r="F30" s="23" t="str">
        <f t="shared" si="22"/>
        <v>nm</v>
      </c>
      <c r="G30" s="23" t="str">
        <f t="shared" si="22"/>
        <v>nm</v>
      </c>
      <c r="H30" s="23" t="str">
        <f t="shared" si="22"/>
        <v>nm</v>
      </c>
      <c r="I30" s="23" t="str">
        <f t="shared" si="22"/>
        <v>nm</v>
      </c>
      <c r="J30" s="23" t="str">
        <f t="shared" si="22"/>
        <v>nm</v>
      </c>
      <c r="K30" s="23" t="str">
        <f t="shared" si="22"/>
        <v>nm</v>
      </c>
      <c r="L30" s="23" t="str">
        <f t="shared" si="22"/>
        <v>nm</v>
      </c>
      <c r="M30" s="23" t="str">
        <f t="shared" si="22"/>
        <v>nm</v>
      </c>
      <c r="N30" s="23" t="str">
        <f t="shared" si="22"/>
        <v>nm</v>
      </c>
      <c r="O30" s="23" t="str">
        <f t="shared" si="22"/>
        <v>nm</v>
      </c>
      <c r="P30" s="24"/>
      <c r="Q30" s="23" t="str">
        <f t="shared" ref="Q30:T32" si="23">IFERROR((Q9-Q19)/Q9,"nm")</f>
        <v>nm</v>
      </c>
      <c r="R30" s="23" t="str">
        <f t="shared" si="23"/>
        <v>nm</v>
      </c>
      <c r="S30" s="23" t="str">
        <f t="shared" si="23"/>
        <v>nm</v>
      </c>
      <c r="T30" s="23" t="str">
        <f t="shared" si="23"/>
        <v>nm</v>
      </c>
      <c r="U30" s="24"/>
      <c r="V30" s="23" t="str">
        <f t="shared" ref="V30:W32" si="24">IFERROR((V9-V19)/V9,"nm")</f>
        <v>nm</v>
      </c>
      <c r="W30" s="23" t="str">
        <f t="shared" si="24"/>
        <v>nm</v>
      </c>
    </row>
    <row r="31" spans="3:24" s="15" customFormat="1" ht="13" outlineLevel="1" x14ac:dyDescent="0.2">
      <c r="C31" s="15" t="s">
        <v>27</v>
      </c>
      <c r="D31" s="23" t="str">
        <f t="shared" ref="D31:O31" si="25">IFERROR((D10-D20)/D10,"nm")</f>
        <v>nm</v>
      </c>
      <c r="E31" s="23">
        <f t="shared" si="25"/>
        <v>0.39493778280542974</v>
      </c>
      <c r="F31" s="23">
        <f t="shared" si="25"/>
        <v>0.39493778280542974</v>
      </c>
      <c r="G31" s="23">
        <f t="shared" si="25"/>
        <v>0.39493778280542974</v>
      </c>
      <c r="H31" s="23">
        <f t="shared" si="25"/>
        <v>0.39493778280542968</v>
      </c>
      <c r="I31" s="23">
        <f t="shared" si="25"/>
        <v>0.39493778280542974</v>
      </c>
      <c r="J31" s="23">
        <f t="shared" si="25"/>
        <v>0.39493778280542968</v>
      </c>
      <c r="K31" s="23">
        <f t="shared" si="25"/>
        <v>0.39493778280542968</v>
      </c>
      <c r="L31" s="23">
        <f t="shared" si="25"/>
        <v>0.39493778280542974</v>
      </c>
      <c r="M31" s="23">
        <f t="shared" si="25"/>
        <v>0.39493778280542968</v>
      </c>
      <c r="N31" s="23">
        <f t="shared" si="25"/>
        <v>0.39493778280542974</v>
      </c>
      <c r="O31" s="23">
        <f t="shared" si="25"/>
        <v>0.39493778280542968</v>
      </c>
      <c r="P31" s="24"/>
      <c r="Q31" s="23">
        <f t="shared" si="23"/>
        <v>0.39493778280542974</v>
      </c>
      <c r="R31" s="23">
        <f t="shared" si="23"/>
        <v>0.39493778280542974</v>
      </c>
      <c r="S31" s="23">
        <f t="shared" si="23"/>
        <v>0.39493778280542963</v>
      </c>
      <c r="T31" s="23">
        <f t="shared" si="23"/>
        <v>0.39493778280542974</v>
      </c>
      <c r="U31" s="24"/>
      <c r="V31" s="23">
        <f t="shared" si="24"/>
        <v>0.39493778280542968</v>
      </c>
      <c r="W31" s="23" t="str">
        <f t="shared" si="24"/>
        <v>nm</v>
      </c>
    </row>
    <row r="32" spans="3:24" s="15" customFormat="1" ht="13" outlineLevel="1" x14ac:dyDescent="0.2">
      <c r="C32" s="15" t="s">
        <v>28</v>
      </c>
      <c r="D32" s="23" t="str">
        <f t="shared" ref="D32:O32" si="26">IFERROR((D11-D21)/D11,"nm")</f>
        <v>nm</v>
      </c>
      <c r="E32" s="23" t="str">
        <f t="shared" si="26"/>
        <v>nm</v>
      </c>
      <c r="F32" s="23" t="str">
        <f t="shared" si="26"/>
        <v>nm</v>
      </c>
      <c r="G32" s="23">
        <f t="shared" si="26"/>
        <v>0.39493778280542974</v>
      </c>
      <c r="H32" s="23">
        <f t="shared" si="26"/>
        <v>0.39493778280542974</v>
      </c>
      <c r="I32" s="23">
        <f t="shared" si="26"/>
        <v>0.39493778280542974</v>
      </c>
      <c r="J32" s="23">
        <f t="shared" si="26"/>
        <v>0.39493778280542974</v>
      </c>
      <c r="K32" s="23">
        <f t="shared" si="26"/>
        <v>0.39493778280542974</v>
      </c>
      <c r="L32" s="23">
        <f t="shared" si="26"/>
        <v>0.39493778280542974</v>
      </c>
      <c r="M32" s="23">
        <f t="shared" si="26"/>
        <v>0.39493778280542979</v>
      </c>
      <c r="N32" s="23">
        <f t="shared" si="26"/>
        <v>0.39493778280542979</v>
      </c>
      <c r="O32" s="23">
        <f t="shared" si="26"/>
        <v>0.39493778280542974</v>
      </c>
      <c r="P32" s="24"/>
      <c r="Q32" s="23" t="str">
        <f t="shared" si="23"/>
        <v>nm</v>
      </c>
      <c r="R32" s="23">
        <f t="shared" si="23"/>
        <v>0.39493778280542974</v>
      </c>
      <c r="S32" s="23">
        <f t="shared" si="23"/>
        <v>0.39493778280542974</v>
      </c>
      <c r="T32" s="23">
        <f t="shared" si="23"/>
        <v>0.39493778280542979</v>
      </c>
      <c r="U32" s="24"/>
      <c r="V32" s="23">
        <f t="shared" si="24"/>
        <v>0.39493778280542985</v>
      </c>
      <c r="W32" s="23">
        <f t="shared" si="24"/>
        <v>0.39493778280542974</v>
      </c>
    </row>
    <row r="33" spans="3:23" s="15" customFormat="1" ht="13" x14ac:dyDescent="0.2">
      <c r="C33" s="15" t="s">
        <v>29</v>
      </c>
      <c r="D33" s="23" t="str">
        <f>IFERROR(D25/D$12,"nm")</f>
        <v>nm</v>
      </c>
      <c r="E33" s="23">
        <f t="shared" ref="E33:O33" si="27">IFERROR(E25/E$12,"nm")</f>
        <v>-8.5454374057315277E-2</v>
      </c>
      <c r="F33" s="23">
        <f t="shared" si="27"/>
        <v>-0.10947398190045253</v>
      </c>
      <c r="G33" s="23">
        <f t="shared" si="27"/>
        <v>-2.1484062226835667</v>
      </c>
      <c r="H33" s="23">
        <f t="shared" si="27"/>
        <v>-2.2276418393231685</v>
      </c>
      <c r="I33" s="23">
        <f t="shared" si="27"/>
        <v>-2.3253357746053722</v>
      </c>
      <c r="J33" s="23">
        <f t="shared" si="27"/>
        <v>-2.3919908055719343</v>
      </c>
      <c r="K33" s="23">
        <f t="shared" si="27"/>
        <v>-2.5599962904252975</v>
      </c>
      <c r="L33" s="23">
        <f t="shared" si="27"/>
        <v>-2.6309725523760155</v>
      </c>
      <c r="M33" s="23">
        <f t="shared" si="27"/>
        <v>-2.6937393100518108</v>
      </c>
      <c r="N33" s="23">
        <f t="shared" si="27"/>
        <v>-2.7250813552191548</v>
      </c>
      <c r="O33" s="23">
        <f t="shared" si="27"/>
        <v>-2.7516627762873722</v>
      </c>
      <c r="P33" s="24"/>
      <c r="Q33" s="23">
        <f t="shared" ref="Q33:T33" si="28">IFERROR(Q25/Q$12,"nm")</f>
        <v>-0.32622234791352445</v>
      </c>
      <c r="R33" s="23">
        <f t="shared" si="28"/>
        <v>-2.26137331820465</v>
      </c>
      <c r="S33" s="23">
        <f t="shared" si="28"/>
        <v>-2.5632858622431844</v>
      </c>
      <c r="T33" s="23">
        <f t="shared" si="28"/>
        <v>-2.7291358464284312</v>
      </c>
      <c r="U33" s="24"/>
      <c r="V33" s="23">
        <f>IFERROR(V25/V$12,"nm")</f>
        <v>-2.6679264460395378</v>
      </c>
      <c r="W33" s="23">
        <f>IFERROR(W25/W$12,"nm")</f>
        <v>-1.1119999641689786</v>
      </c>
    </row>
    <row r="34" spans="3:23" ht="6" customHeight="1" x14ac:dyDescent="0.2"/>
    <row r="35" spans="3:23" x14ac:dyDescent="0.2">
      <c r="C35" s="17" t="s">
        <v>30</v>
      </c>
      <c r="Q35" s="7"/>
      <c r="R35" s="7"/>
      <c r="S35" s="7"/>
      <c r="T35" s="7"/>
      <c r="V35" s="7"/>
      <c r="W35" s="7"/>
    </row>
    <row r="36" spans="3:23" x14ac:dyDescent="0.2">
      <c r="C36" s="19" t="s">
        <v>31</v>
      </c>
      <c r="D36" s="7">
        <f>'Salaries, Wages, &amp; Benefits'!F52</f>
        <v>106535.84461764063</v>
      </c>
      <c r="E36" s="7">
        <f>'Salaries, Wages, &amp; Benefits'!G52</f>
        <v>104570.28345168383</v>
      </c>
      <c r="F36" s="7">
        <f>'Salaries, Wages, &amp; Benefits'!H52</f>
        <v>101192.69986063479</v>
      </c>
      <c r="G36" s="7">
        <f>'Salaries, Wages, &amp; Benefits'!I52</f>
        <v>98889.929353741536</v>
      </c>
      <c r="H36" s="7">
        <f>'Salaries, Wages, &amp; Benefits'!J52</f>
        <v>93087.170320382429</v>
      </c>
      <c r="I36" s="7">
        <f>'Salaries, Wages, &amp; Benefits'!K52</f>
        <v>86743.449521119139</v>
      </c>
      <c r="J36" s="7">
        <f>'Salaries, Wages, &amp; Benefits'!L52</f>
        <v>69457.960480705209</v>
      </c>
      <c r="K36" s="7">
        <f>'Salaries, Wages, &amp; Benefits'!M52</f>
        <v>41193.777788397514</v>
      </c>
      <c r="L36" s="7">
        <f>'Salaries, Wages, &amp; Benefits'!N52</f>
        <v>7293.4172114744142</v>
      </c>
      <c r="M36" s="7">
        <f>'Salaries, Wages, &amp; Benefits'!O52</f>
        <v>-49151.654903910166</v>
      </c>
      <c r="N36" s="7">
        <f>'Salaries, Wages, &amp; Benefits'!P52</f>
        <v>-111232.90490391017</v>
      </c>
      <c r="O36" s="7">
        <f>'Salaries, Wages, &amp; Benefits'!Q52</f>
        <v>-178950.33278852556</v>
      </c>
      <c r="Q36" s="7">
        <f t="shared" ref="Q36:Q43" si="29">SUM(D36:F36)</f>
        <v>312298.82792995928</v>
      </c>
      <c r="R36" s="7">
        <f t="shared" ref="R36:R43" si="30">SUM(G36:I36)</f>
        <v>278720.5491952431</v>
      </c>
      <c r="S36" s="7">
        <f t="shared" ref="S36:S43" si="31">SUM(J36:L36)</f>
        <v>117945.15548057714</v>
      </c>
      <c r="T36" s="7">
        <f t="shared" ref="T36:T43" si="32">SUM(M36:O36)</f>
        <v>-339334.89259634586</v>
      </c>
      <c r="V36" s="7">
        <f t="shared" ref="V36:V43" si="33">SUM(Q36:T36)</f>
        <v>369629.64000943373</v>
      </c>
      <c r="W36" s="7">
        <f>V36</f>
        <v>369629.64000943373</v>
      </c>
    </row>
    <row r="37" spans="3:23" x14ac:dyDescent="0.2">
      <c r="C37" s="19" t="s">
        <v>32</v>
      </c>
      <c r="D37" s="7">
        <f>'Sales Forecast'!D63</f>
        <v>0</v>
      </c>
      <c r="E37" s="7">
        <f>'Sales Forecast'!E63</f>
        <v>153</v>
      </c>
      <c r="F37" s="7">
        <f>'Sales Forecast'!F63</f>
        <v>153</v>
      </c>
      <c r="G37" s="7">
        <f>'Sales Forecast'!G63</f>
        <v>2112</v>
      </c>
      <c r="H37" s="7">
        <f>'Sales Forecast'!H63</f>
        <v>4071</v>
      </c>
      <c r="I37" s="7">
        <f>'Sales Forecast'!I63</f>
        <v>5877</v>
      </c>
      <c r="J37" s="7">
        <f>'Sales Forecast'!J63</f>
        <v>11448</v>
      </c>
      <c r="K37" s="7">
        <f>'Sales Forecast'!K63</f>
        <v>19866</v>
      </c>
      <c r="L37" s="7">
        <f>'Sales Forecast'!L63</f>
        <v>29937</v>
      </c>
      <c r="M37" s="7">
        <f>'Sales Forecast'!M63</f>
        <v>46620</v>
      </c>
      <c r="N37" s="7">
        <f>'Sales Forecast'!N63</f>
        <v>64956</v>
      </c>
      <c r="O37" s="7">
        <f>'Sales Forecast'!O63</f>
        <v>84945</v>
      </c>
      <c r="Q37" s="7">
        <f t="shared" si="29"/>
        <v>306</v>
      </c>
      <c r="R37" s="7">
        <f t="shared" si="30"/>
        <v>12060</v>
      </c>
      <c r="S37" s="7">
        <f t="shared" si="31"/>
        <v>61251</v>
      </c>
      <c r="T37" s="7">
        <f t="shared" si="32"/>
        <v>196521</v>
      </c>
      <c r="V37" s="7">
        <f t="shared" si="33"/>
        <v>270138</v>
      </c>
      <c r="W37" s="41">
        <v>0</v>
      </c>
    </row>
    <row r="38" spans="3:23" x14ac:dyDescent="0.2">
      <c r="C38" s="19" t="s">
        <v>33</v>
      </c>
      <c r="D38" s="7">
        <f>'Contract Labor'!I25</f>
        <v>104440</v>
      </c>
      <c r="E38" s="7">
        <f>'Contract Labor'!J25</f>
        <v>104440</v>
      </c>
      <c r="F38" s="7">
        <f>'Contract Labor'!K25</f>
        <v>104440</v>
      </c>
      <c r="G38" s="7">
        <f>'Contract Labor'!L25</f>
        <v>104440</v>
      </c>
      <c r="H38" s="7">
        <f>'Contract Labor'!M25</f>
        <v>104440</v>
      </c>
      <c r="I38" s="7">
        <f>'Contract Labor'!N25</f>
        <v>104440</v>
      </c>
      <c r="J38" s="7">
        <f>'Contract Labor'!O25</f>
        <v>104440</v>
      </c>
      <c r="K38" s="7">
        <f>'Contract Labor'!P25</f>
        <v>104440</v>
      </c>
      <c r="L38" s="7">
        <f>'Contract Labor'!Q25</f>
        <v>104440</v>
      </c>
      <c r="M38" s="7">
        <f>'Contract Labor'!R25</f>
        <v>104440</v>
      </c>
      <c r="N38" s="7">
        <f>'Contract Labor'!S25</f>
        <v>104440</v>
      </c>
      <c r="O38" s="7">
        <f>'Contract Labor'!T25</f>
        <v>104440</v>
      </c>
      <c r="Q38" s="7">
        <f t="shared" si="29"/>
        <v>313320</v>
      </c>
      <c r="R38" s="7">
        <f t="shared" si="30"/>
        <v>313320</v>
      </c>
      <c r="S38" s="7">
        <f t="shared" si="31"/>
        <v>313320</v>
      </c>
      <c r="T38" s="7">
        <f t="shared" si="32"/>
        <v>313320</v>
      </c>
      <c r="V38" s="7">
        <f t="shared" si="33"/>
        <v>1253280</v>
      </c>
      <c r="W38" s="7">
        <f t="shared" ref="W38:W43" si="34">V38</f>
        <v>1253280</v>
      </c>
    </row>
    <row r="39" spans="3:23" x14ac:dyDescent="0.2">
      <c r="C39" s="19" t="s">
        <v>34</v>
      </c>
      <c r="D39" s="7">
        <f>'Professional Fees'!E10</f>
        <v>4500</v>
      </c>
      <c r="E39" s="7">
        <f>'Professional Fees'!F10</f>
        <v>9500</v>
      </c>
      <c r="F39" s="7">
        <f>'Professional Fees'!G10</f>
        <v>9500</v>
      </c>
      <c r="G39" s="7">
        <f>'Professional Fees'!H10</f>
        <v>9500</v>
      </c>
      <c r="H39" s="7">
        <f>'Professional Fees'!I10</f>
        <v>4500</v>
      </c>
      <c r="I39" s="7">
        <f>'Professional Fees'!J10</f>
        <v>7000</v>
      </c>
      <c r="J39" s="7">
        <f>'Professional Fees'!K10</f>
        <v>7000</v>
      </c>
      <c r="K39" s="7">
        <f>'Professional Fees'!L10</f>
        <v>7000</v>
      </c>
      <c r="L39" s="7">
        <f>'Professional Fees'!M10</f>
        <v>7000</v>
      </c>
      <c r="M39" s="7">
        <f>'Professional Fees'!N10</f>
        <v>7000</v>
      </c>
      <c r="N39" s="7">
        <f>'Professional Fees'!O10</f>
        <v>7000</v>
      </c>
      <c r="O39" s="7">
        <f>'Professional Fees'!P10</f>
        <v>7000</v>
      </c>
      <c r="Q39" s="7">
        <f t="shared" si="29"/>
        <v>23500</v>
      </c>
      <c r="R39" s="7">
        <f t="shared" si="30"/>
        <v>21000</v>
      </c>
      <c r="S39" s="7">
        <f t="shared" si="31"/>
        <v>21000</v>
      </c>
      <c r="T39" s="7">
        <f t="shared" si="32"/>
        <v>21000</v>
      </c>
      <c r="V39" s="7">
        <f t="shared" si="33"/>
        <v>86500</v>
      </c>
      <c r="W39" s="7">
        <f t="shared" si="34"/>
        <v>86500</v>
      </c>
    </row>
    <row r="40" spans="3:23" x14ac:dyDescent="0.2">
      <c r="C40" s="19" t="s">
        <v>35</v>
      </c>
      <c r="D40" s="7">
        <f>'Office Expenses'!E31</f>
        <v>4401</v>
      </c>
      <c r="E40" s="7">
        <f>'Office Expenses'!F31</f>
        <v>5149.1099999999997</v>
      </c>
      <c r="F40" s="7">
        <f>'Office Expenses'!G31</f>
        <v>3376</v>
      </c>
      <c r="G40" s="7">
        <f>'Office Expenses'!H31</f>
        <v>5836</v>
      </c>
      <c r="H40" s="7">
        <f>'Office Expenses'!I31</f>
        <v>7418</v>
      </c>
      <c r="I40" s="7">
        <f>'Office Expenses'!J31</f>
        <v>4216</v>
      </c>
      <c r="J40" s="7">
        <f>'Office Expenses'!K31</f>
        <v>3376</v>
      </c>
      <c r="K40" s="7">
        <f>'Office Expenses'!L31</f>
        <v>3376</v>
      </c>
      <c r="L40" s="7">
        <f>'Office Expenses'!M31</f>
        <v>6376</v>
      </c>
      <c r="M40" s="7">
        <f>'Office Expenses'!N31</f>
        <v>3376</v>
      </c>
      <c r="N40" s="7">
        <f>'Office Expenses'!O31</f>
        <v>3376</v>
      </c>
      <c r="O40" s="7">
        <f>'Office Expenses'!P31</f>
        <v>3376</v>
      </c>
      <c r="Q40" s="7">
        <f t="shared" si="29"/>
        <v>12926.11</v>
      </c>
      <c r="R40" s="7">
        <f t="shared" si="30"/>
        <v>17470</v>
      </c>
      <c r="S40" s="7">
        <f t="shared" si="31"/>
        <v>13128</v>
      </c>
      <c r="T40" s="7">
        <f t="shared" si="32"/>
        <v>10128</v>
      </c>
      <c r="V40" s="7">
        <f t="shared" si="33"/>
        <v>53652.11</v>
      </c>
      <c r="W40" s="7">
        <f t="shared" si="34"/>
        <v>53652.11</v>
      </c>
    </row>
    <row r="41" spans="3:23" x14ac:dyDescent="0.2">
      <c r="C41" s="19" t="s">
        <v>36</v>
      </c>
      <c r="D41" s="7">
        <f>'Advertising &amp; Marketing'!E12</f>
        <v>1279</v>
      </c>
      <c r="E41" s="7">
        <f>'Advertising &amp; Marketing'!F12</f>
        <v>4279</v>
      </c>
      <c r="F41" s="7">
        <f>'Advertising &amp; Marketing'!G12</f>
        <v>4279</v>
      </c>
      <c r="G41" s="7">
        <f>'Advertising &amp; Marketing'!H12</f>
        <v>4279</v>
      </c>
      <c r="H41" s="7">
        <f>'Advertising &amp; Marketing'!I12</f>
        <v>4279</v>
      </c>
      <c r="I41" s="7">
        <f>'Advertising &amp; Marketing'!J12</f>
        <v>4279</v>
      </c>
      <c r="J41" s="7">
        <f>'Advertising &amp; Marketing'!K12</f>
        <v>4279</v>
      </c>
      <c r="K41" s="7">
        <f>'Advertising &amp; Marketing'!L12</f>
        <v>4279</v>
      </c>
      <c r="L41" s="7">
        <f>'Advertising &amp; Marketing'!M12</f>
        <v>4279</v>
      </c>
      <c r="M41" s="7">
        <f>'Advertising &amp; Marketing'!N12</f>
        <v>4279</v>
      </c>
      <c r="N41" s="7">
        <f>'Advertising &amp; Marketing'!O12</f>
        <v>4279</v>
      </c>
      <c r="O41" s="7">
        <f>'Advertising &amp; Marketing'!P12</f>
        <v>4279</v>
      </c>
      <c r="Q41" s="7">
        <f t="shared" si="29"/>
        <v>9837</v>
      </c>
      <c r="R41" s="7">
        <f t="shared" si="30"/>
        <v>12837</v>
      </c>
      <c r="S41" s="7">
        <f t="shared" si="31"/>
        <v>12837</v>
      </c>
      <c r="T41" s="7">
        <f t="shared" si="32"/>
        <v>12837</v>
      </c>
      <c r="V41" s="7">
        <f t="shared" si="33"/>
        <v>48348</v>
      </c>
      <c r="W41" s="7">
        <f t="shared" si="34"/>
        <v>48348</v>
      </c>
    </row>
    <row r="42" spans="3:23" x14ac:dyDescent="0.2">
      <c r="C42" s="19" t="s">
        <v>37</v>
      </c>
      <c r="D42" s="7">
        <f>'Employee Travel'!D14</f>
        <v>12400</v>
      </c>
      <c r="E42" s="7">
        <f>'Employee Travel'!E14</f>
        <v>12250</v>
      </c>
      <c r="F42" s="7">
        <f>'Employee Travel'!F14</f>
        <v>12200</v>
      </c>
      <c r="G42" s="7">
        <f>'Employee Travel'!G14</f>
        <v>12200</v>
      </c>
      <c r="H42" s="7">
        <f>'Employee Travel'!H14</f>
        <v>12200</v>
      </c>
      <c r="I42" s="7">
        <f>'Employee Travel'!I14</f>
        <v>12200</v>
      </c>
      <c r="J42" s="7">
        <f>'Employee Travel'!J14</f>
        <v>12200</v>
      </c>
      <c r="K42" s="7">
        <f>'Employee Travel'!K14</f>
        <v>12200</v>
      </c>
      <c r="L42" s="7">
        <f>'Employee Travel'!L14</f>
        <v>12200</v>
      </c>
      <c r="M42" s="7">
        <f>'Employee Travel'!M14</f>
        <v>12200</v>
      </c>
      <c r="N42" s="7">
        <f>'Employee Travel'!N14</f>
        <v>12200</v>
      </c>
      <c r="O42" s="7">
        <f>'Employee Travel'!O14</f>
        <v>12200</v>
      </c>
      <c r="Q42" s="7">
        <f t="shared" si="29"/>
        <v>36850</v>
      </c>
      <c r="R42" s="7">
        <f t="shared" si="30"/>
        <v>36600</v>
      </c>
      <c r="S42" s="7">
        <f t="shared" si="31"/>
        <v>36600</v>
      </c>
      <c r="T42" s="7">
        <f t="shared" si="32"/>
        <v>36600</v>
      </c>
      <c r="V42" s="7">
        <f t="shared" si="33"/>
        <v>146650</v>
      </c>
      <c r="W42" s="7">
        <f t="shared" si="34"/>
        <v>146650</v>
      </c>
    </row>
    <row r="43" spans="3:23" x14ac:dyDescent="0.2">
      <c r="C43" s="19" t="s">
        <v>38</v>
      </c>
      <c r="D43" s="7">
        <f>'Other Operating Expenses'!E22</f>
        <v>2212</v>
      </c>
      <c r="E43" s="7">
        <f>'Other Operating Expenses'!F22</f>
        <v>3210</v>
      </c>
      <c r="F43" s="7">
        <f>'Other Operating Expenses'!G22</f>
        <v>2812</v>
      </c>
      <c r="G43" s="7">
        <f>'Other Operating Expenses'!H22</f>
        <v>3212</v>
      </c>
      <c r="H43" s="7">
        <f>'Other Operating Expenses'!I22</f>
        <v>2712</v>
      </c>
      <c r="I43" s="7">
        <f>'Other Operating Expenses'!J22</f>
        <v>2712</v>
      </c>
      <c r="J43" s="7">
        <f>'Other Operating Expenses'!K22</f>
        <v>3309</v>
      </c>
      <c r="K43" s="7">
        <f>'Other Operating Expenses'!L22</f>
        <v>2712</v>
      </c>
      <c r="L43" s="7">
        <f>'Other Operating Expenses'!M22</f>
        <v>2712</v>
      </c>
      <c r="M43" s="7">
        <f>'Other Operating Expenses'!N22</f>
        <v>2712</v>
      </c>
      <c r="N43" s="7">
        <f>'Other Operating Expenses'!O22</f>
        <v>2712</v>
      </c>
      <c r="O43" s="7">
        <f>'Other Operating Expenses'!P22</f>
        <v>2712</v>
      </c>
      <c r="Q43" s="7">
        <f t="shared" si="29"/>
        <v>8234</v>
      </c>
      <c r="R43" s="7">
        <f t="shared" si="30"/>
        <v>8636</v>
      </c>
      <c r="S43" s="7">
        <f t="shared" si="31"/>
        <v>8733</v>
      </c>
      <c r="T43" s="7">
        <f t="shared" si="32"/>
        <v>8136</v>
      </c>
      <c r="V43" s="7">
        <f t="shared" si="33"/>
        <v>33739</v>
      </c>
      <c r="W43" s="7">
        <f t="shared" si="34"/>
        <v>33739</v>
      </c>
    </row>
    <row r="44" spans="3:23" x14ac:dyDescent="0.2">
      <c r="C44" s="17" t="s">
        <v>39</v>
      </c>
      <c r="D44" s="18">
        <f>SUM(D36:D43)</f>
        <v>235767.84461764063</v>
      </c>
      <c r="E44" s="18">
        <f t="shared" ref="E44:O44" si="35">SUM(E36:E43)</f>
        <v>243551.39345168381</v>
      </c>
      <c r="F44" s="18">
        <f t="shared" si="35"/>
        <v>237952.69986063481</v>
      </c>
      <c r="G44" s="18">
        <f t="shared" si="35"/>
        <v>240468.92935374152</v>
      </c>
      <c r="H44" s="18">
        <f t="shared" si="35"/>
        <v>232707.17032038243</v>
      </c>
      <c r="I44" s="18">
        <f t="shared" si="35"/>
        <v>227467.44952111912</v>
      </c>
      <c r="J44" s="18">
        <f t="shared" si="35"/>
        <v>215509.96048070519</v>
      </c>
      <c r="K44" s="18">
        <f t="shared" si="35"/>
        <v>195066.77778839751</v>
      </c>
      <c r="L44" s="18">
        <f t="shared" si="35"/>
        <v>174237.41721147441</v>
      </c>
      <c r="M44" s="18">
        <f t="shared" si="35"/>
        <v>131475.34509608982</v>
      </c>
      <c r="N44" s="18">
        <f t="shared" si="35"/>
        <v>87730.095096089834</v>
      </c>
      <c r="O44" s="18">
        <f t="shared" si="35"/>
        <v>40001.667211474443</v>
      </c>
      <c r="Q44" s="18">
        <f t="shared" ref="Q44:V44" si="36">SUM(Q36:Q43)</f>
        <v>717271.93792995927</v>
      </c>
      <c r="R44" s="18">
        <f t="shared" si="36"/>
        <v>700643.54919524305</v>
      </c>
      <c r="S44" s="18">
        <f t="shared" si="36"/>
        <v>584814.15548057714</v>
      </c>
      <c r="T44" s="18">
        <f t="shared" si="36"/>
        <v>259207.10740365414</v>
      </c>
      <c r="V44" s="18">
        <f t="shared" si="36"/>
        <v>2261936.7500094338</v>
      </c>
      <c r="W44" s="18">
        <f t="shared" ref="W44" si="37">SUM(W36:W43)</f>
        <v>1991798.7500094338</v>
      </c>
    </row>
    <row r="45" spans="3:23" s="15" customFormat="1" ht="13" x14ac:dyDescent="0.2">
      <c r="C45" s="15" t="s">
        <v>20</v>
      </c>
      <c r="D45" s="23" t="str">
        <f>IFERROR(D44/D$12,"nm")</f>
        <v>nm</v>
      </c>
      <c r="E45" s="23">
        <f t="shared" ref="E45" si="38">IFERROR(E44/E$12,"nm")</f>
        <v>318.36783457736448</v>
      </c>
      <c r="F45" s="23">
        <f t="shared" ref="F45" si="39">IFERROR(F44/F$12,"nm")</f>
        <v>311.04928086357489</v>
      </c>
      <c r="G45" s="23">
        <f t="shared" ref="G45" si="40">IFERROR(G44/G$12,"nm")</f>
        <v>22.771678916074009</v>
      </c>
      <c r="H45" s="23">
        <f t="shared" ref="H45" si="41">IFERROR(H44/H$12,"nm")</f>
        <v>11.432432833229301</v>
      </c>
      <c r="I45" s="23">
        <f t="shared" ref="I45" si="42">IFERROR(I44/I$12,"nm")</f>
        <v>7.7409375368766078</v>
      </c>
      <c r="J45" s="23">
        <f t="shared" ref="J45" si="43">IFERROR(J44/J$12,"nm")</f>
        <v>3.7650237680067296</v>
      </c>
      <c r="K45" s="23">
        <f t="shared" ref="K45" si="44">IFERROR(K44/K$12,"nm")</f>
        <v>1.9638254081183681</v>
      </c>
      <c r="L45" s="23">
        <f t="shared" ref="L45" si="45">IFERROR(L44/L$12,"nm")</f>
        <v>1.1640272386109123</v>
      </c>
      <c r="M45" s="23">
        <f t="shared" ref="M45" si="46">IFERROR(M44/M$12,"nm")</f>
        <v>0.56402979449201984</v>
      </c>
      <c r="N45" s="23">
        <f t="shared" ref="N45" si="47">IFERROR(N44/N$12,"nm")</f>
        <v>0.27012160569028215</v>
      </c>
      <c r="O45" s="23">
        <f t="shared" ref="O45" si="48">IFERROR(O44/O$12,"nm")</f>
        <v>9.4182511534462166E-2</v>
      </c>
      <c r="P45" s="24"/>
      <c r="Q45" s="23">
        <f t="shared" ref="Q45" si="49">IFERROR(Q44/Q$12,"nm")</f>
        <v>468.80518818951589</v>
      </c>
      <c r="R45" s="23">
        <f t="shared" ref="R45" si="50">IFERROR(R44/R$12,"nm")</f>
        <v>11.619296006554611</v>
      </c>
      <c r="S45" s="23">
        <f t="shared" ref="S45" si="51">IFERROR(S44/S$12,"nm")</f>
        <v>1.9095660657967286</v>
      </c>
      <c r="T45" s="23">
        <f t="shared" ref="T45" si="52">IFERROR(T44/T$12,"nm")</f>
        <v>0.26379583597035855</v>
      </c>
      <c r="U45" s="24"/>
      <c r="V45" s="23">
        <f>IFERROR(V44/V$12,"nm")</f>
        <v>1.6746527700726546</v>
      </c>
      <c r="W45" s="23">
        <f>IFERROR(W44/W$12,"nm")</f>
        <v>0.21828984082623532</v>
      </c>
    </row>
    <row r="46" spans="3:23" ht="6" customHeight="1" x14ac:dyDescent="0.2"/>
    <row r="47" spans="3:23" x14ac:dyDescent="0.2">
      <c r="C47" s="1" t="s">
        <v>40</v>
      </c>
      <c r="D47" s="41">
        <v>-226.25</v>
      </c>
      <c r="E47" s="41">
        <v>-226.25</v>
      </c>
      <c r="F47" s="41">
        <v>-226.25</v>
      </c>
      <c r="G47" s="41">
        <v>-226.25</v>
      </c>
      <c r="H47" s="41">
        <v>-226.25</v>
      </c>
      <c r="I47" s="41">
        <v>-226.25</v>
      </c>
      <c r="J47" s="41">
        <v>-226.25</v>
      </c>
      <c r="K47" s="41">
        <v>-226.25</v>
      </c>
      <c r="L47" s="41">
        <v>-226.25</v>
      </c>
      <c r="M47" s="41">
        <v>-226.25</v>
      </c>
      <c r="N47" s="41">
        <v>-226.25</v>
      </c>
      <c r="O47" s="41">
        <v>-226.25</v>
      </c>
      <c r="Q47" s="7">
        <f>SUM(D47:F47)</f>
        <v>-678.75</v>
      </c>
      <c r="R47" s="7">
        <f>SUM(G47:I47)</f>
        <v>-678.75</v>
      </c>
      <c r="S47" s="7">
        <f>SUM(J47:L47)</f>
        <v>-678.75</v>
      </c>
      <c r="T47" s="7">
        <f>SUM(M47:O47)</f>
        <v>-678.75</v>
      </c>
      <c r="V47" s="7">
        <f>SUM(Q47:T47)</f>
        <v>-2715</v>
      </c>
      <c r="W47" s="7">
        <f>O47*12</f>
        <v>-2715</v>
      </c>
    </row>
    <row r="48" spans="3:23" ht="6" customHeight="1" x14ac:dyDescent="0.2"/>
    <row r="49" spans="3:23" ht="15" thickBot="1" x14ac:dyDescent="0.25">
      <c r="C49" s="17" t="s">
        <v>41</v>
      </c>
      <c r="D49" s="25">
        <f>D25-D44+D47</f>
        <v>-236344.09461764063</v>
      </c>
      <c r="E49" s="25">
        <f t="shared" ref="E49:V49" si="53">E25-E44+E47</f>
        <v>-243843.01604783765</v>
      </c>
      <c r="F49" s="25">
        <f t="shared" si="53"/>
        <v>-238262.69745678865</v>
      </c>
      <c r="G49" s="25">
        <f t="shared" si="53"/>
        <v>-263382.34906528</v>
      </c>
      <c r="H49" s="25">
        <f t="shared" si="53"/>
        <v>-278277.06995980552</v>
      </c>
      <c r="I49" s="25">
        <f t="shared" si="53"/>
        <v>-296023.691257898</v>
      </c>
      <c r="J49" s="25">
        <f t="shared" si="53"/>
        <v>-352653.76419164275</v>
      </c>
      <c r="K49" s="25">
        <f t="shared" si="53"/>
        <v>-449577.45931634231</v>
      </c>
      <c r="L49" s="25">
        <f t="shared" si="53"/>
        <v>-568280.79371387826</v>
      </c>
      <c r="M49" s="25">
        <f t="shared" si="53"/>
        <v>-759612.22826916701</v>
      </c>
      <c r="N49" s="25">
        <f t="shared" si="53"/>
        <v>-973008.26764416695</v>
      </c>
      <c r="O49" s="25">
        <f t="shared" si="53"/>
        <v>-1208927.8898701286</v>
      </c>
      <c r="P49" s="17"/>
      <c r="Q49" s="25">
        <f t="shared" si="53"/>
        <v>-718449.80812226702</v>
      </c>
      <c r="R49" s="25">
        <f t="shared" si="53"/>
        <v>-837683.1102829834</v>
      </c>
      <c r="S49" s="25">
        <f t="shared" si="53"/>
        <v>-1370512.0172218636</v>
      </c>
      <c r="T49" s="25">
        <f t="shared" si="53"/>
        <v>-2941548.3857834628</v>
      </c>
      <c r="U49" s="17"/>
      <c r="V49" s="25">
        <f t="shared" si="53"/>
        <v>-5868193.3214105777</v>
      </c>
      <c r="W49" s="25">
        <f t="shared" ref="W49" si="54">W25-W44+W47</f>
        <v>-12141024.143067131</v>
      </c>
    </row>
    <row r="50" spans="3:23" s="15" customFormat="1" ht="13" x14ac:dyDescent="0.2">
      <c r="C50" s="15" t="s">
        <v>20</v>
      </c>
      <c r="D50" s="23" t="str">
        <f>IFERROR(D49/D$12,"nm")</f>
        <v>nm</v>
      </c>
      <c r="E50" s="23">
        <f t="shared" ref="E50" si="55">IFERROR(E49/E$12,"nm")</f>
        <v>-318.74904058540869</v>
      </c>
      <c r="F50" s="23">
        <f t="shared" ref="F50" si="56">IFERROR(F49/F$12,"nm")</f>
        <v>-311.45450647946228</v>
      </c>
      <c r="G50" s="23">
        <f t="shared" ref="G50" si="57">IFERROR(G49/G$12,"nm")</f>
        <v>-24.941510328151516</v>
      </c>
      <c r="H50" s="23">
        <f t="shared" ref="H50" si="58">IFERROR(H49/H$12,"nm")</f>
        <v>-13.67118987766178</v>
      </c>
      <c r="I50" s="23">
        <f t="shared" ref="I50" si="59">IFERROR(I49/I$12,"nm")</f>
        <v>-10.073972818032942</v>
      </c>
      <c r="J50" s="23">
        <f t="shared" ref="J50" si="60">IFERROR(J49/J$12,"nm")</f>
        <v>-6.1609672290643385</v>
      </c>
      <c r="K50" s="23">
        <f t="shared" ref="K50" si="61">IFERROR(K49/K$12,"nm")</f>
        <v>-4.5260994595423565</v>
      </c>
      <c r="L50" s="23">
        <f t="shared" ref="L50" si="62">IFERROR(L49/L$12,"nm")</f>
        <v>-3.796511298486009</v>
      </c>
      <c r="M50" s="23">
        <f t="shared" ref="M50" si="63">IFERROR(M49/M$12,"nm")</f>
        <v>-3.2587397180144446</v>
      </c>
      <c r="N50" s="23">
        <f t="shared" ref="N50" si="64">IFERROR(N49/N$12,"nm")</f>
        <v>-2.9958995863174054</v>
      </c>
      <c r="O50" s="23">
        <f t="shared" ref="O50" si="65">IFERROR(O49/O$12,"nm")</f>
        <v>-2.8463779854497111</v>
      </c>
      <c r="P50" s="24"/>
      <c r="Q50" s="23">
        <f t="shared" ref="Q50" si="66">IFERROR(Q49/Q$12,"nm")</f>
        <v>-469.5750379884098</v>
      </c>
      <c r="R50" s="23">
        <f t="shared" ref="R50" si="67">IFERROR(R49/R$12,"nm")</f>
        <v>-13.891925543664733</v>
      </c>
      <c r="S50" s="23">
        <f t="shared" ref="S50" si="68">IFERROR(S49/S$12,"nm")</f>
        <v>-4.475068218386193</v>
      </c>
      <c r="T50" s="23">
        <f t="shared" ref="T50" si="69">IFERROR(T49/T$12,"nm")</f>
        <v>-2.9936224482711391</v>
      </c>
      <c r="U50" s="24"/>
      <c r="V50" s="23">
        <f>IFERROR(V49/V$12,"nm")</f>
        <v>-4.3445892998471729</v>
      </c>
      <c r="W50" s="23">
        <f>IFERROR(W49/W$12,"nm")</f>
        <v>-1.330587353589338</v>
      </c>
    </row>
    <row r="51" spans="3:23" x14ac:dyDescent="0.2">
      <c r="V51" s="8"/>
      <c r="W51" s="8"/>
    </row>
    <row r="52" spans="3:23" x14ac:dyDescent="0.2"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Q52" s="7"/>
      <c r="R52" s="7"/>
      <c r="S52" s="7"/>
      <c r="T52" s="7"/>
      <c r="V52" s="7"/>
      <c r="W52" s="7"/>
    </row>
    <row r="53" spans="3:23" x14ac:dyDescent="0.2"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Q53" s="7"/>
      <c r="R53" s="7"/>
      <c r="S53" s="7"/>
      <c r="T53" s="7"/>
      <c r="V53" s="7"/>
      <c r="W53" s="7"/>
    </row>
    <row r="54" spans="3:23" x14ac:dyDescent="0.2"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23" x14ac:dyDescent="0.2">
      <c r="D55" s="7"/>
      <c r="L55" s="7"/>
    </row>
    <row r="56" spans="3:23" x14ac:dyDescent="0.2">
      <c r="M5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8CE2-D163-48E1-B9EB-1FC76E4104D5}">
  <sheetPr>
    <tabColor theme="6" tint="0.79998168889431442"/>
  </sheetPr>
  <dimension ref="C2:V37"/>
  <sheetViews>
    <sheetView showGridLines="0" topLeftCell="A2" zoomScaleNormal="100" workbookViewId="0">
      <selection activeCell="C3" sqref="C3"/>
    </sheetView>
  </sheetViews>
  <sheetFormatPr baseColWidth="10" defaultColWidth="8.83203125" defaultRowHeight="14" x14ac:dyDescent="0.2"/>
  <cols>
    <col min="1" max="2" width="3.6640625" style="1" customWidth="1"/>
    <col min="3" max="3" width="29.5" style="1" customWidth="1"/>
    <col min="4" max="15" width="11.6640625" style="1" customWidth="1"/>
    <col min="16" max="16" width="3.6640625" style="1" customWidth="1"/>
    <col min="17" max="20" width="11.6640625" style="1" customWidth="1"/>
    <col min="21" max="21" width="3.6640625" style="1" customWidth="1"/>
    <col min="22" max="22" width="11.6640625" style="1" customWidth="1"/>
    <col min="23" max="24" width="3.6640625" style="1" customWidth="1"/>
    <col min="25" max="16384" width="8.83203125" style="1"/>
  </cols>
  <sheetData>
    <row r="2" spans="3:22" x14ac:dyDescent="0.2">
      <c r="C2" s="27" t="s">
        <v>0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3:22" x14ac:dyDescent="0.2">
      <c r="C3" s="14" t="s">
        <v>42</v>
      </c>
    </row>
    <row r="4" spans="3:22" ht="6" customHeight="1" x14ac:dyDescent="0.2"/>
    <row r="5" spans="3:22" ht="14" customHeight="1" thickBot="1" x14ac:dyDescent="0.25">
      <c r="C5" s="22" t="s">
        <v>2</v>
      </c>
      <c r="D5" s="11">
        <v>46023</v>
      </c>
      <c r="E5" s="11">
        <f>EOMONTH(D5,0)+1</f>
        <v>46054</v>
      </c>
      <c r="F5" s="11">
        <f t="shared" ref="F5:O5" si="0">EOMONTH(E5,0)+1</f>
        <v>46082</v>
      </c>
      <c r="G5" s="11">
        <f t="shared" si="0"/>
        <v>46113</v>
      </c>
      <c r="H5" s="11">
        <f t="shared" si="0"/>
        <v>46143</v>
      </c>
      <c r="I5" s="11">
        <f t="shared" si="0"/>
        <v>46174</v>
      </c>
      <c r="J5" s="11">
        <f t="shared" si="0"/>
        <v>46204</v>
      </c>
      <c r="K5" s="11">
        <f t="shared" si="0"/>
        <v>46235</v>
      </c>
      <c r="L5" s="11">
        <f t="shared" si="0"/>
        <v>46266</v>
      </c>
      <c r="M5" s="11">
        <f t="shared" si="0"/>
        <v>46296</v>
      </c>
      <c r="N5" s="11">
        <f t="shared" si="0"/>
        <v>46327</v>
      </c>
      <c r="O5" s="11">
        <f t="shared" si="0"/>
        <v>46357</v>
      </c>
      <c r="Q5" s="20" t="s">
        <v>3</v>
      </c>
      <c r="R5" s="20" t="s">
        <v>4</v>
      </c>
      <c r="S5" s="20" t="s">
        <v>5</v>
      </c>
      <c r="T5" s="20" t="s">
        <v>6</v>
      </c>
      <c r="V5" s="20" t="s">
        <v>7</v>
      </c>
    </row>
    <row r="6" spans="3:22" ht="6" customHeight="1" x14ac:dyDescent="0.2"/>
    <row r="7" spans="3:22" x14ac:dyDescent="0.2">
      <c r="C7" s="17" t="s">
        <v>43</v>
      </c>
    </row>
    <row r="8" spans="3:22" x14ac:dyDescent="0.2">
      <c r="C8" s="19" t="s">
        <v>41</v>
      </c>
      <c r="D8" s="7">
        <f>'P&amp;L'!D49</f>
        <v>-236344.09461764063</v>
      </c>
      <c r="E8" s="7">
        <f>'P&amp;L'!E49</f>
        <v>-243843.01604783765</v>
      </c>
      <c r="F8" s="7">
        <f>'P&amp;L'!F49</f>
        <v>-238262.69745678865</v>
      </c>
      <c r="G8" s="7">
        <f>'P&amp;L'!G49</f>
        <v>-263382.34906528</v>
      </c>
      <c r="H8" s="7">
        <f>'P&amp;L'!H49</f>
        <v>-278277.06995980552</v>
      </c>
      <c r="I8" s="7">
        <f>'P&amp;L'!I49</f>
        <v>-296023.691257898</v>
      </c>
      <c r="J8" s="7">
        <f>'P&amp;L'!J49</f>
        <v>-352653.76419164275</v>
      </c>
      <c r="K8" s="7">
        <f>'P&amp;L'!K49</f>
        <v>-449577.45931634231</v>
      </c>
      <c r="L8" s="7">
        <f>'P&amp;L'!L49</f>
        <v>-568280.79371387826</v>
      </c>
      <c r="M8" s="7">
        <f>'P&amp;L'!M49</f>
        <v>-759612.22826916701</v>
      </c>
      <c r="N8" s="7">
        <f>'P&amp;L'!N49</f>
        <v>-973008.26764416695</v>
      </c>
      <c r="O8" s="7">
        <f>'P&amp;L'!O49</f>
        <v>-1208927.8898701286</v>
      </c>
      <c r="Q8" s="7">
        <f>SUM(D8:F8)</f>
        <v>-718449.8081222669</v>
      </c>
      <c r="R8" s="7">
        <f>SUM(G8:I8)</f>
        <v>-837683.11028298351</v>
      </c>
      <c r="S8" s="7">
        <f>SUM(J8:L8)</f>
        <v>-1370512.0172218634</v>
      </c>
      <c r="T8" s="7">
        <f>SUM(M8:O8)</f>
        <v>-2941548.3857834628</v>
      </c>
      <c r="V8" s="7">
        <f>SUM(Q8:T8)</f>
        <v>-5868193.3214105768</v>
      </c>
    </row>
    <row r="9" spans="3:22" x14ac:dyDescent="0.2">
      <c r="C9" s="19" t="s">
        <v>44</v>
      </c>
      <c r="D9" s="7">
        <f>-'P&amp;L'!D47</f>
        <v>226.25</v>
      </c>
      <c r="E9" s="7">
        <f>-'P&amp;L'!E47</f>
        <v>226.25</v>
      </c>
      <c r="F9" s="7">
        <f>-'P&amp;L'!F47</f>
        <v>226.25</v>
      </c>
      <c r="G9" s="7">
        <f>-'P&amp;L'!G47</f>
        <v>226.25</v>
      </c>
      <c r="H9" s="7">
        <f>-'P&amp;L'!H47</f>
        <v>226.25</v>
      </c>
      <c r="I9" s="7">
        <f>-'P&amp;L'!I47</f>
        <v>226.25</v>
      </c>
      <c r="J9" s="7">
        <f>-'P&amp;L'!J47</f>
        <v>226.25</v>
      </c>
      <c r="K9" s="7">
        <f>-'P&amp;L'!K47</f>
        <v>226.25</v>
      </c>
      <c r="L9" s="7">
        <f>-'P&amp;L'!L47</f>
        <v>226.25</v>
      </c>
      <c r="M9" s="7">
        <f>-'P&amp;L'!M47</f>
        <v>226.25</v>
      </c>
      <c r="N9" s="7">
        <f>-'P&amp;L'!N47</f>
        <v>226.25</v>
      </c>
      <c r="O9" s="7">
        <f>-'P&amp;L'!O47</f>
        <v>226.25</v>
      </c>
      <c r="Q9" s="7">
        <f t="shared" ref="Q9:Q15" si="1">SUM(D9:F9)</f>
        <v>678.75</v>
      </c>
      <c r="R9" s="7">
        <f t="shared" ref="R9:R15" si="2">SUM(G9:I9)</f>
        <v>678.75</v>
      </c>
      <c r="S9" s="7">
        <f t="shared" ref="S9:S15" si="3">SUM(J9:L9)</f>
        <v>678.75</v>
      </c>
      <c r="T9" s="7">
        <f t="shared" ref="T9:T15" si="4">SUM(M9:O9)</f>
        <v>678.75</v>
      </c>
      <c r="V9" s="7">
        <f t="shared" ref="V9:V15" si="5">SUM(Q9:T9)</f>
        <v>2715</v>
      </c>
    </row>
    <row r="10" spans="3:22" x14ac:dyDescent="0.2">
      <c r="C10" s="19" t="s">
        <v>45</v>
      </c>
      <c r="D10" s="41">
        <v>0</v>
      </c>
      <c r="E10" s="41">
        <v>15200</v>
      </c>
      <c r="F10" s="7">
        <f>'Sales Forecast'!F59-'Sales Forecast'!F49</f>
        <v>0</v>
      </c>
      <c r="G10" s="7">
        <f>'Sales Forecast'!G59-'Sales Forecast'!G49</f>
        <v>-9795</v>
      </c>
      <c r="H10" s="7">
        <f>'Sales Forecast'!H59-'Sales Forecast'!H49</f>
        <v>-9795</v>
      </c>
      <c r="I10" s="7">
        <f>'Sales Forecast'!I59-'Sales Forecast'!I49</f>
        <v>-9030</v>
      </c>
      <c r="J10" s="7">
        <f>'Sales Forecast'!J59-'Sales Forecast'!J49</f>
        <v>-27855</v>
      </c>
      <c r="K10" s="7">
        <f>'Sales Forecast'!K59-'Sales Forecast'!K49</f>
        <v>-42090</v>
      </c>
      <c r="L10" s="7">
        <f>'Sales Forecast'!L59-'Sales Forecast'!L49</f>
        <v>-50355</v>
      </c>
      <c r="M10" s="7">
        <f>'Sales Forecast'!M59-'Sales Forecast'!M49</f>
        <v>-83415</v>
      </c>
      <c r="N10" s="7">
        <f>'Sales Forecast'!N59-'Sales Forecast'!N49</f>
        <v>-91680</v>
      </c>
      <c r="O10" s="7">
        <f>'Sales Forecast'!O59-'Sales Forecast'!O49</f>
        <v>-99945</v>
      </c>
      <c r="Q10" s="7">
        <f t="shared" si="1"/>
        <v>15200</v>
      </c>
      <c r="R10" s="7">
        <f t="shared" si="2"/>
        <v>-28620</v>
      </c>
      <c r="S10" s="7">
        <f t="shared" si="3"/>
        <v>-120300</v>
      </c>
      <c r="T10" s="7">
        <f t="shared" si="4"/>
        <v>-275040</v>
      </c>
      <c r="V10" s="7">
        <f t="shared" si="5"/>
        <v>-408760</v>
      </c>
    </row>
    <row r="11" spans="3:22" x14ac:dyDescent="0.2">
      <c r="C11" s="19" t="s">
        <v>46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Q11" s="7">
        <f t="shared" ref="Q11" si="6">SUM(D11:F11)</f>
        <v>0</v>
      </c>
      <c r="R11" s="7">
        <f t="shared" ref="R11" si="7">SUM(G11:I11)</f>
        <v>0</v>
      </c>
      <c r="S11" s="7">
        <f t="shared" ref="S11" si="8">SUM(J11:L11)</f>
        <v>0</v>
      </c>
      <c r="T11" s="7">
        <f t="shared" ref="T11" si="9">SUM(M11:O11)</f>
        <v>0</v>
      </c>
      <c r="V11" s="7">
        <f t="shared" ref="V11" si="10">SUM(Q11:T11)</f>
        <v>0</v>
      </c>
    </row>
    <row r="12" spans="3:22" x14ac:dyDescent="0.2">
      <c r="C12" s="19" t="s">
        <v>47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0</v>
      </c>
      <c r="M12" s="41">
        <v>0</v>
      </c>
      <c r="N12" s="41">
        <v>0</v>
      </c>
      <c r="O12" s="41">
        <v>0</v>
      </c>
      <c r="Q12" s="7">
        <f t="shared" ref="Q12" si="11">SUM(D12:F12)</f>
        <v>0</v>
      </c>
      <c r="R12" s="7">
        <f t="shared" ref="R12" si="12">SUM(G12:I12)</f>
        <v>0</v>
      </c>
      <c r="S12" s="7">
        <f t="shared" ref="S12" si="13">SUM(J12:L12)</f>
        <v>0</v>
      </c>
      <c r="T12" s="7">
        <f t="shared" ref="T12" si="14">SUM(M12:O12)</f>
        <v>0</v>
      </c>
      <c r="V12" s="7">
        <f t="shared" ref="V12" si="15">SUM(Q12:T12)</f>
        <v>0</v>
      </c>
    </row>
    <row r="13" spans="3:22" x14ac:dyDescent="0.2">
      <c r="C13" s="19" t="s">
        <v>48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Q13" s="7">
        <f t="shared" si="1"/>
        <v>0</v>
      </c>
      <c r="R13" s="7">
        <f t="shared" si="2"/>
        <v>0</v>
      </c>
      <c r="S13" s="7">
        <f t="shared" si="3"/>
        <v>0</v>
      </c>
      <c r="T13" s="7">
        <f t="shared" si="4"/>
        <v>0</v>
      </c>
      <c r="V13" s="7">
        <f t="shared" si="5"/>
        <v>0</v>
      </c>
    </row>
    <row r="14" spans="3:22" x14ac:dyDescent="0.2">
      <c r="C14" s="19" t="s">
        <v>49</v>
      </c>
      <c r="D14" s="55">
        <f>'Sales Forecast'!D63-'Sales Forecast'!D64+'Salaries, Wages, &amp; Benefits'!F27</f>
        <v>0</v>
      </c>
      <c r="E14" s="55">
        <f>'Sales Forecast'!E63-'Sales Forecast'!E64+'Salaries, Wages, &amp; Benefits'!G27</f>
        <v>153</v>
      </c>
      <c r="F14" s="55">
        <f>'Sales Forecast'!F63-'Sales Forecast'!F64+'Salaries, Wages, &amp; Benefits'!H27</f>
        <v>0</v>
      </c>
      <c r="G14" s="55">
        <f>'Sales Forecast'!G63-'Sales Forecast'!G64+'Salaries, Wages, &amp; Benefits'!I27</f>
        <v>1959</v>
      </c>
      <c r="H14" s="55">
        <f>'Sales Forecast'!H63-'Sales Forecast'!H64+'Salaries, Wages, &amp; Benefits'!J27</f>
        <v>1959</v>
      </c>
      <c r="I14" s="55">
        <f>'Sales Forecast'!I63-'Sales Forecast'!I64+'Salaries, Wages, &amp; Benefits'!K27</f>
        <v>1806</v>
      </c>
      <c r="J14" s="55">
        <f>'Sales Forecast'!J63-'Sales Forecast'!J64+'Salaries, Wages, &amp; Benefits'!L27</f>
        <v>5571</v>
      </c>
      <c r="K14" s="55">
        <f>'Sales Forecast'!K63-'Sales Forecast'!K64+'Salaries, Wages, &amp; Benefits'!M27</f>
        <v>8418</v>
      </c>
      <c r="L14" s="55">
        <f>'Sales Forecast'!L63-'Sales Forecast'!L64+'Salaries, Wages, &amp; Benefits'!N27</f>
        <v>10071</v>
      </c>
      <c r="M14" s="55">
        <f>'Sales Forecast'!M63-'Sales Forecast'!M64+'Salaries, Wages, &amp; Benefits'!O27</f>
        <v>16683</v>
      </c>
      <c r="N14" s="55">
        <f>'Sales Forecast'!N63-'Sales Forecast'!N64+'Salaries, Wages, &amp; Benefits'!P27</f>
        <v>18336</v>
      </c>
      <c r="O14" s="55">
        <f>'Sales Forecast'!O63-'Sales Forecast'!O64-SUM('Salaries, Wages, &amp; Benefits'!F27:Q27)</f>
        <v>19989</v>
      </c>
      <c r="Q14" s="7">
        <f t="shared" si="1"/>
        <v>153</v>
      </c>
      <c r="R14" s="7">
        <f t="shared" si="2"/>
        <v>5724</v>
      </c>
      <c r="S14" s="7">
        <f t="shared" si="3"/>
        <v>24060</v>
      </c>
      <c r="T14" s="7">
        <f t="shared" si="4"/>
        <v>55008</v>
      </c>
      <c r="V14" s="7">
        <f t="shared" si="5"/>
        <v>84945</v>
      </c>
    </row>
    <row r="15" spans="3:22" x14ac:dyDescent="0.2">
      <c r="C15" s="19" t="s">
        <v>50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Q15" s="7">
        <f t="shared" si="1"/>
        <v>0</v>
      </c>
      <c r="R15" s="7">
        <f t="shared" si="2"/>
        <v>0</v>
      </c>
      <c r="S15" s="7">
        <f t="shared" si="3"/>
        <v>0</v>
      </c>
      <c r="T15" s="7">
        <f t="shared" si="4"/>
        <v>0</v>
      </c>
      <c r="V15" s="7">
        <f t="shared" si="5"/>
        <v>0</v>
      </c>
    </row>
    <row r="16" spans="3:22" x14ac:dyDescent="0.2">
      <c r="C16" s="17" t="s">
        <v>51</v>
      </c>
      <c r="D16" s="18">
        <f>SUM(D8:D15)</f>
        <v>-236117.84461764063</v>
      </c>
      <c r="E16" s="18">
        <f t="shared" ref="E16:O16" si="16">SUM(E8:E15)</f>
        <v>-228263.76604783765</v>
      </c>
      <c r="F16" s="18">
        <f t="shared" si="16"/>
        <v>-238036.44745678865</v>
      </c>
      <c r="G16" s="18">
        <f t="shared" si="16"/>
        <v>-270992.09906528</v>
      </c>
      <c r="H16" s="18">
        <f t="shared" si="16"/>
        <v>-285886.81995980552</v>
      </c>
      <c r="I16" s="18">
        <f t="shared" si="16"/>
        <v>-303021.441257898</v>
      </c>
      <c r="J16" s="18">
        <f t="shared" si="16"/>
        <v>-374711.51419164275</v>
      </c>
      <c r="K16" s="18">
        <f t="shared" si="16"/>
        <v>-483023.20931634231</v>
      </c>
      <c r="L16" s="18">
        <f t="shared" si="16"/>
        <v>-608338.54371387826</v>
      </c>
      <c r="M16" s="18">
        <f t="shared" si="16"/>
        <v>-826117.97826916701</v>
      </c>
      <c r="N16" s="18">
        <f t="shared" si="16"/>
        <v>-1046126.0176441669</v>
      </c>
      <c r="O16" s="18">
        <f t="shared" si="16"/>
        <v>-1288657.6398701286</v>
      </c>
      <c r="Q16" s="18">
        <f t="shared" ref="Q16:T16" si="17">SUM(Q8:Q15)</f>
        <v>-702418.0581222669</v>
      </c>
      <c r="R16" s="18">
        <f t="shared" si="17"/>
        <v>-859900.36028298351</v>
      </c>
      <c r="S16" s="18">
        <f t="shared" si="17"/>
        <v>-1466073.2672218634</v>
      </c>
      <c r="T16" s="18">
        <f t="shared" si="17"/>
        <v>-3160901.6357834628</v>
      </c>
      <c r="V16" s="18">
        <f t="shared" ref="V16" si="18">SUM(V8:V15)</f>
        <v>-6189293.3214105768</v>
      </c>
    </row>
    <row r="17" spans="3:22" ht="6" customHeight="1" x14ac:dyDescent="0.2"/>
    <row r="18" spans="3:22" x14ac:dyDescent="0.2">
      <c r="C18" s="17" t="s">
        <v>52</v>
      </c>
    </row>
    <row r="19" spans="3:22" x14ac:dyDescent="0.2">
      <c r="C19" s="19" t="s">
        <v>53</v>
      </c>
      <c r="D19" s="7">
        <v>-1000</v>
      </c>
      <c r="E19" s="7">
        <v>-1000</v>
      </c>
      <c r="F19" s="7">
        <v>-1000</v>
      </c>
      <c r="G19" s="7">
        <v>-1000</v>
      </c>
      <c r="H19" s="7">
        <v>-1000</v>
      </c>
      <c r="I19" s="7">
        <v>-1000</v>
      </c>
      <c r="J19" s="7">
        <v>-1000</v>
      </c>
      <c r="K19" s="7">
        <v>-1000</v>
      </c>
      <c r="L19" s="7">
        <v>-1000</v>
      </c>
      <c r="M19" s="7">
        <v>-1000</v>
      </c>
      <c r="N19" s="7">
        <v>-1000</v>
      </c>
      <c r="O19" s="7">
        <v>-1000</v>
      </c>
      <c r="Q19" s="7">
        <f t="shared" ref="Q19:Q20" si="19">SUM(D19:F19)</f>
        <v>-3000</v>
      </c>
      <c r="R19" s="7">
        <f t="shared" ref="R19:R20" si="20">SUM(G19:I19)</f>
        <v>-3000</v>
      </c>
      <c r="S19" s="7">
        <f t="shared" ref="S19:S20" si="21">SUM(J19:L19)</f>
        <v>-3000</v>
      </c>
      <c r="T19" s="7">
        <f t="shared" ref="T19:T20" si="22">SUM(M19:O19)</f>
        <v>-3000</v>
      </c>
      <c r="V19" s="7">
        <f t="shared" ref="V19:V20" si="23">SUM(Q19:T19)</f>
        <v>-12000</v>
      </c>
    </row>
    <row r="20" spans="3:22" x14ac:dyDescent="0.2">
      <c r="C20" s="19" t="s">
        <v>50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Q20" s="7">
        <f t="shared" si="19"/>
        <v>0</v>
      </c>
      <c r="R20" s="7">
        <f t="shared" si="20"/>
        <v>0</v>
      </c>
      <c r="S20" s="7">
        <f t="shared" si="21"/>
        <v>0</v>
      </c>
      <c r="T20" s="7">
        <f t="shared" si="22"/>
        <v>0</v>
      </c>
      <c r="V20" s="7">
        <f t="shared" si="23"/>
        <v>0</v>
      </c>
    </row>
    <row r="21" spans="3:22" x14ac:dyDescent="0.2">
      <c r="C21" s="17" t="s">
        <v>54</v>
      </c>
      <c r="D21" s="18">
        <f>SUM(D19:D20)</f>
        <v>-1000</v>
      </c>
      <c r="E21" s="18">
        <f t="shared" ref="E21:O21" si="24">SUM(E19:E20)</f>
        <v>-1000</v>
      </c>
      <c r="F21" s="18">
        <f t="shared" si="24"/>
        <v>-1000</v>
      </c>
      <c r="G21" s="18">
        <f t="shared" si="24"/>
        <v>-1000</v>
      </c>
      <c r="H21" s="18">
        <f t="shared" si="24"/>
        <v>-1000</v>
      </c>
      <c r="I21" s="18">
        <f t="shared" si="24"/>
        <v>-1000</v>
      </c>
      <c r="J21" s="18">
        <f t="shared" si="24"/>
        <v>-1000</v>
      </c>
      <c r="K21" s="18">
        <f t="shared" si="24"/>
        <v>-1000</v>
      </c>
      <c r="L21" s="18">
        <f t="shared" si="24"/>
        <v>-1000</v>
      </c>
      <c r="M21" s="18">
        <f t="shared" si="24"/>
        <v>-1000</v>
      </c>
      <c r="N21" s="18">
        <f t="shared" si="24"/>
        <v>-1000</v>
      </c>
      <c r="O21" s="18">
        <f t="shared" si="24"/>
        <v>-1000</v>
      </c>
      <c r="Q21" s="18">
        <f t="shared" ref="Q21:T21" si="25">SUM(Q19:Q20)</f>
        <v>-3000</v>
      </c>
      <c r="R21" s="18">
        <f t="shared" si="25"/>
        <v>-3000</v>
      </c>
      <c r="S21" s="18">
        <f t="shared" si="25"/>
        <v>-3000</v>
      </c>
      <c r="T21" s="18">
        <f t="shared" si="25"/>
        <v>-3000</v>
      </c>
      <c r="V21" s="18">
        <f>SUM(V19:V20)</f>
        <v>-12000</v>
      </c>
    </row>
    <row r="22" spans="3:22" ht="6" customHeight="1" x14ac:dyDescent="0.2"/>
    <row r="23" spans="3:22" x14ac:dyDescent="0.2">
      <c r="C23" s="17" t="s">
        <v>55</v>
      </c>
    </row>
    <row r="24" spans="3:22" x14ac:dyDescent="0.2">
      <c r="C24" s="19" t="s">
        <v>56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0</v>
      </c>
      <c r="N24" s="41">
        <v>0</v>
      </c>
      <c r="O24" s="41">
        <v>0</v>
      </c>
      <c r="Q24" s="7">
        <f t="shared" ref="Q24:Q26" si="26">SUM(D24:F24)</f>
        <v>0</v>
      </c>
      <c r="R24" s="7">
        <f t="shared" ref="R24:R26" si="27">SUM(G24:I24)</f>
        <v>0</v>
      </c>
      <c r="S24" s="7">
        <f t="shared" ref="S24:S26" si="28">SUM(J24:L24)</f>
        <v>0</v>
      </c>
      <c r="T24" s="7">
        <f t="shared" ref="T24:T26" si="29">SUM(M24:O24)</f>
        <v>0</v>
      </c>
      <c r="V24" s="7">
        <f t="shared" ref="V24:V26" si="30">SUM(Q24:T24)</f>
        <v>0</v>
      </c>
    </row>
    <row r="25" spans="3:22" x14ac:dyDescent="0.2">
      <c r="C25" s="19" t="s">
        <v>57</v>
      </c>
      <c r="D25" s="41">
        <v>0</v>
      </c>
      <c r="E25" s="41">
        <v>0</v>
      </c>
      <c r="F25" s="41">
        <v>0</v>
      </c>
      <c r="G25" s="41">
        <v>1000000</v>
      </c>
      <c r="H25" s="41">
        <v>1000000</v>
      </c>
      <c r="I25" s="41">
        <v>0</v>
      </c>
      <c r="J25" s="41">
        <v>0</v>
      </c>
      <c r="K25" s="41">
        <v>0</v>
      </c>
      <c r="L25" s="41">
        <v>0</v>
      </c>
      <c r="M25" s="41">
        <v>0</v>
      </c>
      <c r="N25" s="41">
        <v>0</v>
      </c>
      <c r="O25" s="41">
        <v>0</v>
      </c>
      <c r="Q25" s="7">
        <f t="shared" si="26"/>
        <v>0</v>
      </c>
      <c r="R25" s="7">
        <f t="shared" si="27"/>
        <v>2000000</v>
      </c>
      <c r="S25" s="7">
        <f t="shared" si="28"/>
        <v>0</v>
      </c>
      <c r="T25" s="7">
        <f t="shared" si="29"/>
        <v>0</v>
      </c>
      <c r="V25" s="7">
        <f t="shared" si="30"/>
        <v>2000000</v>
      </c>
    </row>
    <row r="26" spans="3:22" x14ac:dyDescent="0.2">
      <c r="C26" s="19" t="s">
        <v>50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Q26" s="7">
        <f t="shared" si="26"/>
        <v>0</v>
      </c>
      <c r="R26" s="7">
        <f t="shared" si="27"/>
        <v>0</v>
      </c>
      <c r="S26" s="7">
        <f t="shared" si="28"/>
        <v>0</v>
      </c>
      <c r="T26" s="7">
        <f t="shared" si="29"/>
        <v>0</v>
      </c>
      <c r="V26" s="7">
        <f t="shared" si="30"/>
        <v>0</v>
      </c>
    </row>
    <row r="27" spans="3:22" x14ac:dyDescent="0.2">
      <c r="C27" s="17" t="s">
        <v>58</v>
      </c>
      <c r="D27" s="18">
        <f>SUM(D24:D26)</f>
        <v>0</v>
      </c>
      <c r="E27" s="18">
        <f t="shared" ref="E27:O27" si="31">SUM(E24:E26)</f>
        <v>0</v>
      </c>
      <c r="F27" s="18">
        <f t="shared" si="31"/>
        <v>0</v>
      </c>
      <c r="G27" s="18">
        <f t="shared" si="31"/>
        <v>1000000</v>
      </c>
      <c r="H27" s="18">
        <f t="shared" si="31"/>
        <v>1000000</v>
      </c>
      <c r="I27" s="18">
        <f t="shared" si="31"/>
        <v>0</v>
      </c>
      <c r="J27" s="18">
        <f t="shared" si="31"/>
        <v>0</v>
      </c>
      <c r="K27" s="18">
        <f t="shared" si="31"/>
        <v>0</v>
      </c>
      <c r="L27" s="18">
        <f t="shared" si="31"/>
        <v>0</v>
      </c>
      <c r="M27" s="18">
        <f t="shared" si="31"/>
        <v>0</v>
      </c>
      <c r="N27" s="18">
        <f t="shared" si="31"/>
        <v>0</v>
      </c>
      <c r="O27" s="18">
        <f t="shared" si="31"/>
        <v>0</v>
      </c>
      <c r="Q27" s="18">
        <f t="shared" ref="Q27:T27" si="32">SUM(Q24:Q26)</f>
        <v>0</v>
      </c>
      <c r="R27" s="18">
        <f t="shared" si="32"/>
        <v>2000000</v>
      </c>
      <c r="S27" s="18">
        <f t="shared" si="32"/>
        <v>0</v>
      </c>
      <c r="T27" s="18">
        <f t="shared" si="32"/>
        <v>0</v>
      </c>
      <c r="V27" s="18">
        <f>SUM(V24:V26)</f>
        <v>2000000</v>
      </c>
    </row>
    <row r="28" spans="3:22" ht="6" customHeight="1" x14ac:dyDescent="0.2"/>
    <row r="29" spans="3:22" x14ac:dyDescent="0.2">
      <c r="C29" s="17" t="s">
        <v>59</v>
      </c>
      <c r="D29" s="7">
        <f>D16+D21+D27</f>
        <v>-237117.84461764063</v>
      </c>
      <c r="E29" s="7">
        <f t="shared" ref="E29:O29" si="33">E16+E21+E27</f>
        <v>-229263.76604783765</v>
      </c>
      <c r="F29" s="7">
        <f t="shared" si="33"/>
        <v>-239036.44745678865</v>
      </c>
      <c r="G29" s="7">
        <f t="shared" si="33"/>
        <v>728007.90093471995</v>
      </c>
      <c r="H29" s="7">
        <f t="shared" si="33"/>
        <v>713113.18004019442</v>
      </c>
      <c r="I29" s="7">
        <f t="shared" si="33"/>
        <v>-304021.441257898</v>
      </c>
      <c r="J29" s="7">
        <f t="shared" si="33"/>
        <v>-375711.51419164275</v>
      </c>
      <c r="K29" s="7">
        <f t="shared" si="33"/>
        <v>-484023.20931634231</v>
      </c>
      <c r="L29" s="7">
        <f t="shared" si="33"/>
        <v>-609338.54371387826</v>
      </c>
      <c r="M29" s="7">
        <f t="shared" si="33"/>
        <v>-827117.97826916701</v>
      </c>
      <c r="N29" s="7">
        <f t="shared" si="33"/>
        <v>-1047126.0176441669</v>
      </c>
      <c r="O29" s="7">
        <f t="shared" si="33"/>
        <v>-1289657.6398701286</v>
      </c>
      <c r="Q29" s="7">
        <f t="shared" ref="Q29" si="34">SUM(D29:F29)</f>
        <v>-705418.0581222669</v>
      </c>
      <c r="R29" s="7">
        <f t="shared" ref="R29" si="35">SUM(G29:I29)</f>
        <v>1137099.6397170164</v>
      </c>
      <c r="S29" s="7">
        <f t="shared" ref="S29" si="36">SUM(J29:L29)</f>
        <v>-1469073.2672218634</v>
      </c>
      <c r="T29" s="7">
        <f t="shared" ref="T29" si="37">SUM(M29:O29)</f>
        <v>-3163901.6357834628</v>
      </c>
      <c r="V29" s="7">
        <f t="shared" ref="V29" si="38">SUM(Q29:T29)</f>
        <v>-4201293.3214105768</v>
      </c>
    </row>
    <row r="30" spans="3:22" x14ac:dyDescent="0.2">
      <c r="C30" s="1" t="s">
        <v>60</v>
      </c>
      <c r="D30" s="41">
        <v>2200000</v>
      </c>
      <c r="E30" s="7">
        <f>D31</f>
        <v>1962882.1553823594</v>
      </c>
      <c r="F30" s="7">
        <f t="shared" ref="F30:O30" si="39">E31</f>
        <v>1733618.3893345217</v>
      </c>
      <c r="G30" s="7">
        <f t="shared" si="39"/>
        <v>1494581.941877733</v>
      </c>
      <c r="H30" s="7">
        <f t="shared" si="39"/>
        <v>2222589.8428124529</v>
      </c>
      <c r="I30" s="7">
        <f t="shared" si="39"/>
        <v>2935703.0228526471</v>
      </c>
      <c r="J30" s="7">
        <f t="shared" si="39"/>
        <v>2631681.5815947494</v>
      </c>
      <c r="K30" s="7">
        <f t="shared" si="39"/>
        <v>2255970.0674031065</v>
      </c>
      <c r="L30" s="7">
        <f t="shared" si="39"/>
        <v>1771946.8580867641</v>
      </c>
      <c r="M30" s="7">
        <f t="shared" si="39"/>
        <v>1162608.314372886</v>
      </c>
      <c r="N30" s="7">
        <f t="shared" si="39"/>
        <v>335490.33610371896</v>
      </c>
      <c r="O30" s="7">
        <f t="shared" si="39"/>
        <v>-711635.68154044799</v>
      </c>
      <c r="Q30" s="7">
        <f>D30</f>
        <v>2200000</v>
      </c>
      <c r="R30" s="7">
        <f>G30</f>
        <v>1494581.941877733</v>
      </c>
      <c r="S30" s="7">
        <f>J30</f>
        <v>2631681.5815947494</v>
      </c>
      <c r="T30" s="7">
        <f>M30</f>
        <v>1162608.314372886</v>
      </c>
      <c r="V30" s="7">
        <f>D30</f>
        <v>2200000</v>
      </c>
    </row>
    <row r="31" spans="3:22" x14ac:dyDescent="0.2">
      <c r="C31" s="17" t="s">
        <v>61</v>
      </c>
      <c r="D31" s="18">
        <f>SUM(D29:D30)</f>
        <v>1962882.1553823594</v>
      </c>
      <c r="E31" s="18">
        <f t="shared" ref="E31:O31" si="40">SUM(E29:E30)</f>
        <v>1733618.3893345217</v>
      </c>
      <c r="F31" s="18">
        <f t="shared" si="40"/>
        <v>1494581.941877733</v>
      </c>
      <c r="G31" s="18">
        <f t="shared" si="40"/>
        <v>2222589.8428124529</v>
      </c>
      <c r="H31" s="18">
        <f t="shared" si="40"/>
        <v>2935703.0228526471</v>
      </c>
      <c r="I31" s="18">
        <f t="shared" si="40"/>
        <v>2631681.5815947494</v>
      </c>
      <c r="J31" s="18">
        <f t="shared" si="40"/>
        <v>2255970.0674031065</v>
      </c>
      <c r="K31" s="18">
        <f t="shared" si="40"/>
        <v>1771946.8580867641</v>
      </c>
      <c r="L31" s="18">
        <f t="shared" si="40"/>
        <v>1162608.314372886</v>
      </c>
      <c r="M31" s="18">
        <f t="shared" si="40"/>
        <v>335490.33610371896</v>
      </c>
      <c r="N31" s="18">
        <f t="shared" si="40"/>
        <v>-711635.68154044799</v>
      </c>
      <c r="O31" s="18">
        <f t="shared" si="40"/>
        <v>-2001293.3214105766</v>
      </c>
      <c r="Q31" s="18">
        <f t="shared" ref="Q31:T31" si="41">SUM(Q29:Q30)</f>
        <v>1494581.941877733</v>
      </c>
      <c r="R31" s="18">
        <f t="shared" si="41"/>
        <v>2631681.5815947494</v>
      </c>
      <c r="S31" s="18">
        <f t="shared" si="41"/>
        <v>1162608.314372886</v>
      </c>
      <c r="T31" s="18">
        <f t="shared" si="41"/>
        <v>-2001293.3214105768</v>
      </c>
      <c r="V31" s="18">
        <f>SUM(V29:V30)</f>
        <v>-2001293.3214105768</v>
      </c>
    </row>
    <row r="32" spans="3:22" s="15" customFormat="1" ht="13" x14ac:dyDescent="0.2">
      <c r="C32" s="15" t="s">
        <v>62</v>
      </c>
      <c r="D32" s="65">
        <f>ROUNDDOWN(D31/-D16,0)</f>
        <v>8</v>
      </c>
      <c r="E32" s="65">
        <f t="shared" ref="E32:O32" si="42">ROUNDDOWN(E31/-E16,0)</f>
        <v>7</v>
      </c>
      <c r="F32" s="65">
        <f t="shared" si="42"/>
        <v>6</v>
      </c>
      <c r="G32" s="65">
        <f t="shared" si="42"/>
        <v>8</v>
      </c>
      <c r="H32" s="65">
        <f t="shared" si="42"/>
        <v>10</v>
      </c>
      <c r="I32" s="65">
        <f t="shared" si="42"/>
        <v>8</v>
      </c>
      <c r="J32" s="65">
        <f t="shared" si="42"/>
        <v>6</v>
      </c>
      <c r="K32" s="65">
        <f t="shared" si="42"/>
        <v>3</v>
      </c>
      <c r="L32" s="65">
        <f t="shared" si="42"/>
        <v>1</v>
      </c>
      <c r="M32" s="65">
        <f t="shared" si="42"/>
        <v>0</v>
      </c>
      <c r="N32" s="65">
        <f t="shared" si="42"/>
        <v>0</v>
      </c>
      <c r="O32" s="65">
        <f t="shared" si="42"/>
        <v>-1</v>
      </c>
    </row>
    <row r="34" spans="5:15" x14ac:dyDescent="0.2">
      <c r="E34" s="7"/>
      <c r="F34" s="7"/>
      <c r="G34" s="7"/>
      <c r="H34" s="7"/>
      <c r="I34" s="7"/>
      <c r="J34" s="7"/>
      <c r="K34" s="7"/>
      <c r="L34" s="7"/>
      <c r="M34" s="7"/>
      <c r="N34" s="7"/>
      <c r="O34" s="65"/>
    </row>
    <row r="35" spans="5:15" x14ac:dyDescent="0.2">
      <c r="F35" s="7"/>
      <c r="G35" s="7"/>
      <c r="H35" s="7"/>
      <c r="O35" s="65"/>
    </row>
    <row r="36" spans="5:15" x14ac:dyDescent="0.2">
      <c r="F36" s="7"/>
      <c r="G36" s="7"/>
      <c r="H36" s="7"/>
      <c r="O36" s="7"/>
    </row>
    <row r="37" spans="5:15" x14ac:dyDescent="0.2">
      <c r="F37" s="8"/>
      <c r="G37" s="8"/>
      <c r="H37" s="8"/>
      <c r="O37" s="6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38E9-C107-41FC-B38A-38488B5EB615}">
  <sheetPr>
    <tabColor theme="1"/>
  </sheetPr>
  <dimension ref="A1"/>
  <sheetViews>
    <sheetView showGridLines="0" workbookViewId="0"/>
  </sheetViews>
  <sheetFormatPr baseColWidth="10" defaultColWidth="8.83203125" defaultRowHeight="14" x14ac:dyDescent="0.2"/>
  <cols>
    <col min="1" max="16384" width="8.832031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0537-D502-40A4-A748-0823386F3317}">
  <sheetPr>
    <tabColor theme="1" tint="0.499984740745262"/>
  </sheetPr>
  <dimension ref="C1:Q15"/>
  <sheetViews>
    <sheetView showGridLines="0" zoomScaleNormal="100" workbookViewId="0">
      <selection activeCell="J5" sqref="J5"/>
    </sheetView>
  </sheetViews>
  <sheetFormatPr baseColWidth="10" defaultColWidth="8.83203125" defaultRowHeight="14" x14ac:dyDescent="0.2"/>
  <cols>
    <col min="1" max="2" width="3.6640625" style="1" customWidth="1"/>
    <col min="3" max="3" width="29.5" style="1" bestFit="1" customWidth="1"/>
    <col min="4" max="4" width="10.33203125" style="1" bestFit="1" customWidth="1"/>
    <col min="5" max="5" width="12" style="1" bestFit="1" customWidth="1"/>
    <col min="6" max="6" width="12" style="1" customWidth="1"/>
    <col min="7" max="7" width="16.33203125" style="1" bestFit="1" customWidth="1"/>
    <col min="8" max="13" width="8.83203125" style="1"/>
    <col min="14" max="15" width="3.6640625" style="1" customWidth="1"/>
    <col min="16" max="16384" width="8.83203125" style="1"/>
  </cols>
  <sheetData>
    <row r="1" spans="3:17" x14ac:dyDescent="0.2">
      <c r="G1" s="12" t="s">
        <v>63</v>
      </c>
      <c r="H1" s="13" t="s">
        <v>64</v>
      </c>
      <c r="I1" s="30">
        <f>IF(H1="Low",1,IF(H1="Base",2,3))</f>
        <v>2</v>
      </c>
    </row>
    <row r="3" spans="3:17" ht="15" thickBot="1" x14ac:dyDescent="0.25">
      <c r="H3" s="111" t="s">
        <v>65</v>
      </c>
      <c r="I3" s="111"/>
      <c r="J3" s="111"/>
      <c r="K3" s="111" t="s">
        <v>66</v>
      </c>
      <c r="L3" s="111"/>
      <c r="M3" s="111"/>
      <c r="P3" s="31" t="s">
        <v>67</v>
      </c>
    </row>
    <row r="4" spans="3:17" ht="15" thickBot="1" x14ac:dyDescent="0.25"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5" t="s">
        <v>73</v>
      </c>
      <c r="I4" s="5" t="s">
        <v>64</v>
      </c>
      <c r="J4" s="5" t="s">
        <v>74</v>
      </c>
      <c r="K4" s="5" t="s">
        <v>73</v>
      </c>
      <c r="L4" s="5" t="s">
        <v>64</v>
      </c>
      <c r="M4" s="5" t="s">
        <v>74</v>
      </c>
      <c r="P4" s="5" t="s">
        <v>75</v>
      </c>
    </row>
    <row r="5" spans="3:17" x14ac:dyDescent="0.2">
      <c r="C5" s="1" t="s">
        <v>10</v>
      </c>
      <c r="D5" s="1" t="s">
        <v>76</v>
      </c>
      <c r="E5" s="1" t="s">
        <v>77</v>
      </c>
      <c r="F5" s="1" t="s">
        <v>78</v>
      </c>
      <c r="G5" s="1" t="s">
        <v>79</v>
      </c>
      <c r="H5" s="3">
        <v>1500</v>
      </c>
      <c r="I5" s="9">
        <v>1500</v>
      </c>
      <c r="J5" s="3">
        <v>1500</v>
      </c>
      <c r="K5" s="9">
        <f t="shared" ref="K5:K6" si="0">H5*12</f>
        <v>18000</v>
      </c>
      <c r="L5" s="9">
        <f t="shared" ref="L5:L6" si="1">I5*12</f>
        <v>18000</v>
      </c>
      <c r="M5" s="9">
        <f t="shared" ref="M5:M6" si="2">J5*12</f>
        <v>18000</v>
      </c>
      <c r="P5" s="9">
        <f t="shared" ref="P5:P8" si="3">CHOOSE($I$1,H5,I5,J5)</f>
        <v>1500</v>
      </c>
    </row>
    <row r="6" spans="3:17" x14ac:dyDescent="0.2">
      <c r="C6" s="1" t="s">
        <v>10</v>
      </c>
      <c r="D6" s="1" t="s">
        <v>80</v>
      </c>
      <c r="E6" s="1" t="s">
        <v>77</v>
      </c>
      <c r="F6" s="1" t="s">
        <v>78</v>
      </c>
      <c r="G6" s="1" t="s">
        <v>79</v>
      </c>
      <c r="H6" s="3">
        <v>1500</v>
      </c>
      <c r="I6" s="3">
        <v>1500</v>
      </c>
      <c r="J6" s="3">
        <v>1500</v>
      </c>
      <c r="K6" s="9">
        <f t="shared" si="0"/>
        <v>18000</v>
      </c>
      <c r="L6" s="9">
        <f t="shared" si="1"/>
        <v>18000</v>
      </c>
      <c r="M6" s="9">
        <f t="shared" si="2"/>
        <v>18000</v>
      </c>
      <c r="P6" s="9">
        <f t="shared" si="3"/>
        <v>1500</v>
      </c>
      <c r="Q6" s="75"/>
    </row>
    <row r="7" spans="3:17" x14ac:dyDescent="0.2">
      <c r="C7" s="1" t="s">
        <v>11</v>
      </c>
      <c r="D7" s="1" t="s">
        <v>81</v>
      </c>
      <c r="E7" s="1" t="s">
        <v>82</v>
      </c>
      <c r="F7" s="1" t="s">
        <v>83</v>
      </c>
      <c r="G7" s="1" t="s">
        <v>79</v>
      </c>
      <c r="H7" s="3">
        <v>0</v>
      </c>
      <c r="I7" s="3">
        <v>0</v>
      </c>
      <c r="J7" s="3">
        <v>0</v>
      </c>
      <c r="K7" s="10"/>
      <c r="L7" s="10"/>
      <c r="M7" s="10"/>
      <c r="P7" s="9">
        <f>CHOOSE($I$1,H7,I7,J7)</f>
        <v>0</v>
      </c>
      <c r="Q7" s="75"/>
    </row>
    <row r="8" spans="3:17" x14ac:dyDescent="0.2">
      <c r="C8" s="1" t="s">
        <v>84</v>
      </c>
      <c r="D8" s="1" t="s">
        <v>81</v>
      </c>
      <c r="E8" s="1" t="s">
        <v>82</v>
      </c>
      <c r="F8" s="1" t="s">
        <v>83</v>
      </c>
      <c r="G8" s="1" t="s">
        <v>85</v>
      </c>
      <c r="H8" s="3">
        <v>255</v>
      </c>
      <c r="I8" s="3">
        <v>255</v>
      </c>
      <c r="J8" s="3">
        <v>255</v>
      </c>
      <c r="K8" s="10"/>
      <c r="L8" s="10"/>
      <c r="M8" s="10"/>
      <c r="P8" s="9">
        <f t="shared" si="3"/>
        <v>255</v>
      </c>
    </row>
    <row r="9" spans="3:17" x14ac:dyDescent="0.2">
      <c r="H9" s="7"/>
      <c r="I9" s="7"/>
      <c r="J9" s="7"/>
      <c r="K9" s="7"/>
      <c r="L9" s="7"/>
      <c r="M9" s="7"/>
      <c r="P9" s="7"/>
    </row>
    <row r="10" spans="3:17" x14ac:dyDescent="0.2">
      <c r="C10" s="17" t="s">
        <v>86</v>
      </c>
      <c r="D10" s="105" t="s">
        <v>74</v>
      </c>
      <c r="I10" s="7"/>
      <c r="J10" s="7"/>
      <c r="L10" s="7"/>
      <c r="M10" s="7"/>
      <c r="P10" s="7"/>
    </row>
    <row r="11" spans="3:17" x14ac:dyDescent="0.2">
      <c r="C11" s="1" t="s">
        <v>87</v>
      </c>
      <c r="D11" s="4">
        <v>100000</v>
      </c>
      <c r="L11" s="8"/>
    </row>
    <row r="12" spans="3:17" x14ac:dyDescent="0.2">
      <c r="C12" s="1" t="s">
        <v>88</v>
      </c>
      <c r="D12" s="3" t="s">
        <v>88</v>
      </c>
      <c r="L12" s="8"/>
    </row>
    <row r="13" spans="3:17" x14ac:dyDescent="0.2">
      <c r="C13" s="1" t="s">
        <v>88</v>
      </c>
      <c r="D13" s="4" t="s">
        <v>88</v>
      </c>
    </row>
    <row r="14" spans="3:17" x14ac:dyDescent="0.2">
      <c r="C14" s="1" t="s">
        <v>88</v>
      </c>
      <c r="D14" s="3" t="s">
        <v>88</v>
      </c>
    </row>
    <row r="15" spans="3:17" x14ac:dyDescent="0.2">
      <c r="C15" s="1" t="s">
        <v>88</v>
      </c>
      <c r="D15" s="4" t="s">
        <v>88</v>
      </c>
    </row>
  </sheetData>
  <mergeCells count="2">
    <mergeCell ref="H3:J3"/>
    <mergeCell ref="K3:M3"/>
  </mergeCells>
  <dataValidations count="2">
    <dataValidation type="list" allowBlank="1" showInputMessage="1" showErrorMessage="1" sqref="H1" xr:uid="{7260FF49-BA12-4292-9EBE-974E8858BEB7}">
      <formula1>"Low, Base, High"</formula1>
    </dataValidation>
    <dataValidation type="list" allowBlank="1" showInputMessage="1" showErrorMessage="1" sqref="D10" xr:uid="{912C6DB1-F4A1-4B2F-91D0-B39EAB1951F4}">
      <formula1>"Moderate, High"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543B-F6B2-4E40-B657-6FF7247A9803}">
  <sheetPr>
    <tabColor theme="1" tint="0.499984740745262"/>
  </sheetPr>
  <dimension ref="C1:J33"/>
  <sheetViews>
    <sheetView showGridLines="0" zoomScaleNormal="100" workbookViewId="0">
      <selection activeCell="G23" sqref="G23"/>
    </sheetView>
  </sheetViews>
  <sheetFormatPr baseColWidth="10" defaultColWidth="8.83203125" defaultRowHeight="14" x14ac:dyDescent="0.2"/>
  <cols>
    <col min="1" max="2" width="3.6640625" style="1" customWidth="1"/>
    <col min="3" max="3" width="32.6640625" style="1" customWidth="1"/>
    <col min="4" max="4" width="12" style="2" customWidth="1"/>
    <col min="5" max="5" width="8.83203125" style="1" customWidth="1"/>
    <col min="6" max="7" width="8.83203125" style="1"/>
    <col min="8" max="9" width="3.6640625" style="1" customWidth="1"/>
    <col min="10" max="16384" width="8.83203125" style="1"/>
  </cols>
  <sheetData>
    <row r="1" spans="3:10" x14ac:dyDescent="0.2">
      <c r="D1" s="12" t="s">
        <v>63</v>
      </c>
      <c r="E1" s="13" t="s">
        <v>74</v>
      </c>
      <c r="F1" s="30">
        <f>IF(E1="Low",1,IF(E1="Base",2,3))</f>
        <v>3</v>
      </c>
    </row>
    <row r="3" spans="3:10" ht="15" thickBot="1" x14ac:dyDescent="0.25">
      <c r="E3" s="111" t="s">
        <v>89</v>
      </c>
      <c r="F3" s="111"/>
      <c r="G3" s="111"/>
      <c r="J3" s="31" t="s">
        <v>67</v>
      </c>
    </row>
    <row r="4" spans="3:10" ht="15" thickBot="1" x14ac:dyDescent="0.25">
      <c r="C4" s="6" t="s">
        <v>68</v>
      </c>
      <c r="D4" s="37" t="s">
        <v>90</v>
      </c>
      <c r="E4" s="5" t="s">
        <v>73</v>
      </c>
      <c r="F4" s="5" t="s">
        <v>64</v>
      </c>
      <c r="G4" s="5" t="s">
        <v>74</v>
      </c>
      <c r="J4" s="5" t="s">
        <v>75</v>
      </c>
    </row>
    <row r="5" spans="3:10" x14ac:dyDescent="0.2">
      <c r="C5" s="1" t="s">
        <v>10</v>
      </c>
      <c r="D5" s="77" t="s">
        <v>91</v>
      </c>
      <c r="E5" s="47">
        <v>5</v>
      </c>
      <c r="F5" s="47">
        <v>5</v>
      </c>
      <c r="G5" s="47">
        <v>5</v>
      </c>
      <c r="J5" s="53">
        <f t="shared" ref="J5:J6" si="0">CHOOSE($F$1,E5,F5,G5)</f>
        <v>5</v>
      </c>
    </row>
    <row r="6" spans="3:10" x14ac:dyDescent="0.2">
      <c r="C6" s="1" t="s">
        <v>11</v>
      </c>
      <c r="D6" s="77" t="s">
        <v>92</v>
      </c>
      <c r="E6" s="82">
        <v>0</v>
      </c>
      <c r="F6" s="82">
        <v>0</v>
      </c>
      <c r="G6" s="82">
        <v>0</v>
      </c>
      <c r="J6" s="53">
        <f t="shared" si="0"/>
        <v>0</v>
      </c>
    </row>
    <row r="7" spans="3:10" x14ac:dyDescent="0.2">
      <c r="C7" s="1" t="s">
        <v>12</v>
      </c>
      <c r="D7" s="77" t="s">
        <v>93</v>
      </c>
      <c r="E7" s="47">
        <v>3</v>
      </c>
      <c r="F7" s="47">
        <v>3</v>
      </c>
      <c r="G7" s="47">
        <v>3</v>
      </c>
      <c r="J7" s="53">
        <f t="shared" ref="J7:J8" si="1">CHOOSE($F$1,E7,F7,G7)</f>
        <v>3</v>
      </c>
    </row>
    <row r="8" spans="3:10" x14ac:dyDescent="0.2">
      <c r="C8" s="1" t="s">
        <v>13</v>
      </c>
      <c r="D8" s="77" t="s">
        <v>93</v>
      </c>
      <c r="E8" s="47">
        <v>2.5</v>
      </c>
      <c r="F8" s="47">
        <v>3</v>
      </c>
      <c r="G8" s="47">
        <v>3</v>
      </c>
      <c r="J8" s="53">
        <f t="shared" si="1"/>
        <v>3</v>
      </c>
    </row>
    <row r="9" spans="3:10" x14ac:dyDescent="0.2">
      <c r="F9" s="7"/>
      <c r="G9" s="7"/>
      <c r="J9" s="7"/>
    </row>
    <row r="10" spans="3:10" ht="15" thickBot="1" x14ac:dyDescent="0.25">
      <c r="E10" s="111" t="s">
        <v>94</v>
      </c>
      <c r="F10" s="111"/>
      <c r="G10" s="111"/>
      <c r="J10" s="7"/>
    </row>
    <row r="11" spans="3:10" ht="15" thickBot="1" x14ac:dyDescent="0.25">
      <c r="C11" s="6" t="s">
        <v>95</v>
      </c>
      <c r="D11" s="78"/>
      <c r="E11" s="79">
        <v>1</v>
      </c>
      <c r="F11" s="79">
        <v>2</v>
      </c>
      <c r="G11" s="79" t="s">
        <v>96</v>
      </c>
      <c r="J11" s="7"/>
    </row>
    <row r="12" spans="3:10" x14ac:dyDescent="0.2">
      <c r="C12" s="1" t="str">
        <f>C7</f>
        <v>Professional Services - Implementation</v>
      </c>
      <c r="E12" s="80">
        <v>1</v>
      </c>
      <c r="F12" s="80">
        <v>0</v>
      </c>
      <c r="G12" s="80">
        <v>0</v>
      </c>
      <c r="J12" s="81"/>
    </row>
    <row r="13" spans="3:10" x14ac:dyDescent="0.2">
      <c r="C13" s="1" t="str">
        <f>C8</f>
        <v>Professional Services - Monthly</v>
      </c>
      <c r="E13" s="80">
        <v>0</v>
      </c>
      <c r="F13" s="80">
        <v>0</v>
      </c>
      <c r="G13" s="80">
        <v>1</v>
      </c>
      <c r="J13" s="81"/>
    </row>
    <row r="14" spans="3:10" x14ac:dyDescent="0.2">
      <c r="F14" s="7"/>
      <c r="G14" s="7"/>
      <c r="J14" s="7"/>
    </row>
    <row r="15" spans="3:10" x14ac:dyDescent="0.2">
      <c r="C15" s="66" t="s">
        <v>97</v>
      </c>
    </row>
    <row r="16" spans="3:10" x14ac:dyDescent="0.2">
      <c r="C16" s="19" t="str">
        <f>C5</f>
        <v>AI Monitoring</v>
      </c>
      <c r="E16" s="68">
        <f>E5*'Product &amp; Pricing List'!H5*12</f>
        <v>90000</v>
      </c>
      <c r="F16" s="68">
        <f>F5*'Product &amp; Pricing List'!I5*12</f>
        <v>90000</v>
      </c>
      <c r="G16" s="68">
        <f>G5*'Product &amp; Pricing List'!J5*12</f>
        <v>90000</v>
      </c>
      <c r="J16" s="9">
        <f t="shared" ref="J16:J19" si="2">CHOOSE($F$1,E16,F16,G16)</f>
        <v>90000</v>
      </c>
    </row>
    <row r="17" spans="3:10" x14ac:dyDescent="0.2">
      <c r="C17" s="19" t="str">
        <f t="shared" ref="C17:C19" si="3">C6</f>
        <v>Integration Fee</v>
      </c>
      <c r="E17" s="68">
        <f>E6*'Product &amp; Pricing List'!H7</f>
        <v>0</v>
      </c>
      <c r="F17" s="68">
        <f>F6*'Product &amp; Pricing List'!I7</f>
        <v>0</v>
      </c>
      <c r="G17" s="68">
        <f>G6*'Product &amp; Pricing List'!J7</f>
        <v>0</v>
      </c>
      <c r="J17" s="9">
        <f t="shared" si="2"/>
        <v>0</v>
      </c>
    </row>
    <row r="18" spans="3:10" x14ac:dyDescent="0.2">
      <c r="C18" s="19" t="str">
        <f t="shared" si="3"/>
        <v>Professional Services - Implementation</v>
      </c>
      <c r="E18" s="68">
        <f>E7*'Product &amp; Pricing List'!H8</f>
        <v>765</v>
      </c>
      <c r="F18" s="68">
        <f>F7*'Product &amp; Pricing List'!I8</f>
        <v>765</v>
      </c>
      <c r="G18" s="68">
        <f>G7*'Product &amp; Pricing List'!J8</f>
        <v>765</v>
      </c>
      <c r="J18" s="9">
        <f t="shared" si="2"/>
        <v>765</v>
      </c>
    </row>
    <row r="19" spans="3:10" x14ac:dyDescent="0.2">
      <c r="C19" s="19" t="str">
        <f t="shared" si="3"/>
        <v>Professional Services - Monthly</v>
      </c>
      <c r="E19" s="68">
        <f>E8*'Product &amp; Pricing List'!H8*12</f>
        <v>7650</v>
      </c>
      <c r="F19" s="68">
        <f>F8*'Product &amp; Pricing List'!I8*12</f>
        <v>9180</v>
      </c>
      <c r="G19" s="68">
        <f>G8*'Product &amp; Pricing List'!J8*12</f>
        <v>9180</v>
      </c>
      <c r="J19" s="9">
        <f t="shared" si="2"/>
        <v>9180</v>
      </c>
    </row>
    <row r="20" spans="3:10" ht="15" thickBot="1" x14ac:dyDescent="0.25">
      <c r="C20" s="12" t="s">
        <v>98</v>
      </c>
      <c r="E20" s="25">
        <f>SUM(E16:E19)</f>
        <v>98415</v>
      </c>
      <c r="F20" s="25">
        <f>SUM(F16:F19)</f>
        <v>99945</v>
      </c>
      <c r="G20" s="25">
        <f>SUM(G16:G19)</f>
        <v>99945</v>
      </c>
      <c r="J20" s="25">
        <f>SUM(J16:J19)</f>
        <v>99945</v>
      </c>
    </row>
    <row r="21" spans="3:10" s="70" customFormat="1" ht="13" x14ac:dyDescent="0.2">
      <c r="C21" s="71" t="s">
        <v>99</v>
      </c>
      <c r="D21" s="69"/>
      <c r="E21" s="48">
        <f>SUM(E16:E16)/E20</f>
        <v>0.91449474165523548</v>
      </c>
      <c r="F21" s="48">
        <f>SUM(F16:F16)/F20</f>
        <v>0.90049527239981986</v>
      </c>
      <c r="G21" s="48">
        <f>SUM(G16:G16)/G20</f>
        <v>0.90049527239981986</v>
      </c>
      <c r="H21" s="33"/>
      <c r="I21" s="33"/>
      <c r="J21" s="48">
        <f>SUM(J16:J16)/J20</f>
        <v>0.90049527239981986</v>
      </c>
    </row>
    <row r="22" spans="3:10" s="70" customFormat="1" ht="13" x14ac:dyDescent="0.2">
      <c r="C22" s="71" t="s">
        <v>100</v>
      </c>
      <c r="D22" s="69"/>
      <c r="E22" s="48">
        <f>SUM(E17:E19)/E20</f>
        <v>8.5505258344764523E-2</v>
      </c>
      <c r="F22" s="48">
        <f t="shared" ref="F22:G22" si="4">SUM(F17:F19)/F20</f>
        <v>9.9504727600180101E-2</v>
      </c>
      <c r="G22" s="48">
        <f t="shared" si="4"/>
        <v>9.9504727600180101E-2</v>
      </c>
      <c r="H22" s="33"/>
      <c r="I22" s="33"/>
      <c r="J22" s="48">
        <f t="shared" ref="J22" si="5">SUM(J17:J19)/J20</f>
        <v>9.9504727600180101E-2</v>
      </c>
    </row>
    <row r="24" spans="3:10" x14ac:dyDescent="0.2">
      <c r="C24" s="66" t="s">
        <v>101</v>
      </c>
    </row>
    <row r="25" spans="3:10" x14ac:dyDescent="0.2">
      <c r="C25" s="19" t="str">
        <f>C16</f>
        <v>AI Monitoring</v>
      </c>
      <c r="E25" s="68">
        <f>E5*'Product &amp; Pricing List'!H6*12</f>
        <v>90000</v>
      </c>
      <c r="F25" s="68">
        <f>F5*'Product &amp; Pricing List'!I6*12</f>
        <v>90000</v>
      </c>
      <c r="G25" s="68">
        <f>G5*'Product &amp; Pricing List'!J6*12</f>
        <v>90000</v>
      </c>
      <c r="J25" s="9">
        <f t="shared" ref="J25:J28" si="6">CHOOSE($F$1,E25,F25,G25)</f>
        <v>90000</v>
      </c>
    </row>
    <row r="26" spans="3:10" x14ac:dyDescent="0.2">
      <c r="C26" s="19" t="str">
        <f t="shared" ref="C26:C28" si="7">C17</f>
        <v>Integration Fee</v>
      </c>
      <c r="E26" s="68">
        <f>E6*'Product &amp; Pricing List'!H7</f>
        <v>0</v>
      </c>
      <c r="F26" s="68">
        <f>F6*'Product &amp; Pricing List'!I7</f>
        <v>0</v>
      </c>
      <c r="G26" s="68">
        <f>G6*'Product &amp; Pricing List'!J7</f>
        <v>0</v>
      </c>
      <c r="J26" s="9">
        <f t="shared" si="6"/>
        <v>0</v>
      </c>
    </row>
    <row r="27" spans="3:10" x14ac:dyDescent="0.2">
      <c r="C27" s="19" t="str">
        <f t="shared" si="7"/>
        <v>Professional Services - Implementation</v>
      </c>
      <c r="E27" s="68">
        <f>E7*'Product &amp; Pricing List'!H8</f>
        <v>765</v>
      </c>
      <c r="F27" s="68">
        <f>F7*'Product &amp; Pricing List'!I8</f>
        <v>765</v>
      </c>
      <c r="G27" s="68">
        <f>G7*'Product &amp; Pricing List'!J8</f>
        <v>765</v>
      </c>
      <c r="J27" s="9">
        <f t="shared" si="6"/>
        <v>765</v>
      </c>
    </row>
    <row r="28" spans="3:10" x14ac:dyDescent="0.2">
      <c r="C28" s="19" t="str">
        <f t="shared" si="7"/>
        <v>Professional Services - Monthly</v>
      </c>
      <c r="E28" s="68">
        <f>E8*'Product &amp; Pricing List'!H8*12</f>
        <v>7650</v>
      </c>
      <c r="F28" s="68">
        <f>F8*'Product &amp; Pricing List'!I8*12</f>
        <v>9180</v>
      </c>
      <c r="G28" s="68">
        <f>G8*'Product &amp; Pricing List'!J8*12</f>
        <v>9180</v>
      </c>
      <c r="J28" s="9">
        <f t="shared" si="6"/>
        <v>9180</v>
      </c>
    </row>
    <row r="29" spans="3:10" ht="15" thickBot="1" x14ac:dyDescent="0.25">
      <c r="C29" s="12" t="s">
        <v>102</v>
      </c>
      <c r="E29" s="25">
        <f>SUM(E25:E28)</f>
        <v>98415</v>
      </c>
      <c r="F29" s="25">
        <f>SUM(F25:F28)</f>
        <v>99945</v>
      </c>
      <c r="G29" s="25">
        <f>SUM(G25:G28)</f>
        <v>99945</v>
      </c>
      <c r="J29" s="25">
        <f>SUM(J25:J28)</f>
        <v>99945</v>
      </c>
    </row>
    <row r="30" spans="3:10" x14ac:dyDescent="0.2">
      <c r="C30" s="71" t="s">
        <v>99</v>
      </c>
      <c r="D30" s="69"/>
      <c r="E30" s="48">
        <f>SUM(E25:E25)/E29</f>
        <v>0.91449474165523548</v>
      </c>
      <c r="F30" s="48">
        <f>SUM(F25:F25)/F29</f>
        <v>0.90049527239981986</v>
      </c>
      <c r="G30" s="48">
        <f>SUM(G25:G25)/G29</f>
        <v>0.90049527239981986</v>
      </c>
      <c r="H30" s="33"/>
      <c r="I30" s="33"/>
      <c r="J30" s="48">
        <f>SUM(J25:J25)/J29</f>
        <v>0.90049527239981986</v>
      </c>
    </row>
    <row r="31" spans="3:10" x14ac:dyDescent="0.2">
      <c r="C31" s="71" t="s">
        <v>100</v>
      </c>
      <c r="D31" s="69"/>
      <c r="E31" s="48">
        <f>SUM(E26:E28)/E29</f>
        <v>8.5505258344764523E-2</v>
      </c>
      <c r="F31" s="48">
        <f t="shared" ref="F31:G31" si="8">SUM(F26:F28)/F29</f>
        <v>9.9504727600180101E-2</v>
      </c>
      <c r="G31" s="48">
        <f t="shared" si="8"/>
        <v>9.9504727600180101E-2</v>
      </c>
      <c r="H31" s="33"/>
      <c r="I31" s="33"/>
      <c r="J31" s="48">
        <f t="shared" ref="J31" si="9">SUM(J26:J28)/J29</f>
        <v>9.9504727600180101E-2</v>
      </c>
    </row>
    <row r="33" spans="6:6" x14ac:dyDescent="0.2">
      <c r="F33" s="7"/>
    </row>
  </sheetData>
  <mergeCells count="2">
    <mergeCell ref="E3:G3"/>
    <mergeCell ref="E10:G10"/>
  </mergeCells>
  <dataValidations count="1">
    <dataValidation type="list" allowBlank="1" showInputMessage="1" showErrorMessage="1" sqref="E1" xr:uid="{7240DAA7-CBBD-473A-BAD9-38A1E1010323}">
      <formula1>"Low, Base, High"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F13F-4C21-4DF3-990A-F747B2559789}">
  <sheetPr>
    <tabColor theme="1" tint="0.499984740745262"/>
  </sheetPr>
  <dimension ref="C1:V66"/>
  <sheetViews>
    <sheetView showGridLines="0" zoomScaleNormal="100" workbookViewId="0">
      <pane ySplit="5" topLeftCell="A15" activePane="bottomLeft" state="frozen"/>
      <selection pane="bottomLeft" activeCell="P8" sqref="P8"/>
    </sheetView>
  </sheetViews>
  <sheetFormatPr baseColWidth="10" defaultColWidth="8.83203125" defaultRowHeight="14" x14ac:dyDescent="0.2"/>
  <cols>
    <col min="1" max="2" width="3.6640625" style="1" customWidth="1"/>
    <col min="3" max="3" width="33" style="1" bestFit="1" customWidth="1"/>
    <col min="4" max="15" width="10.6640625" style="1" customWidth="1"/>
    <col min="16" max="16" width="3.6640625" style="1" customWidth="1"/>
    <col min="17" max="20" width="10.6640625" style="1" customWidth="1"/>
    <col min="21" max="21" width="3.6640625" style="1" customWidth="1"/>
    <col min="22" max="22" width="10.6640625" style="1" customWidth="1"/>
    <col min="23" max="16384" width="8.83203125" style="1"/>
  </cols>
  <sheetData>
    <row r="1" spans="3:22" x14ac:dyDescent="0.2">
      <c r="D1" s="2"/>
      <c r="E1" s="2"/>
    </row>
    <row r="2" spans="3:22" x14ac:dyDescent="0.2">
      <c r="C2" s="27" t="s">
        <v>0</v>
      </c>
      <c r="D2" s="29"/>
      <c r="E2" s="29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3:22" x14ac:dyDescent="0.2">
      <c r="C3" s="14" t="s">
        <v>103</v>
      </c>
      <c r="D3" s="30"/>
      <c r="E3" s="30"/>
    </row>
    <row r="4" spans="3:22" ht="6" customHeight="1" x14ac:dyDescent="0.2">
      <c r="D4" s="2"/>
      <c r="E4" s="2"/>
    </row>
    <row r="5" spans="3:22" ht="14" customHeight="1" thickBot="1" x14ac:dyDescent="0.25">
      <c r="C5" s="6"/>
      <c r="D5" s="11">
        <v>46023</v>
      </c>
      <c r="E5" s="11">
        <f>EOMONTH(D5,0)+1</f>
        <v>46054</v>
      </c>
      <c r="F5" s="11">
        <f t="shared" ref="F5:O5" si="0">EOMONTH(E5,0)+1</f>
        <v>46082</v>
      </c>
      <c r="G5" s="11">
        <f t="shared" si="0"/>
        <v>46113</v>
      </c>
      <c r="H5" s="11">
        <f t="shared" si="0"/>
        <v>46143</v>
      </c>
      <c r="I5" s="11">
        <f t="shared" si="0"/>
        <v>46174</v>
      </c>
      <c r="J5" s="11">
        <f t="shared" si="0"/>
        <v>46204</v>
      </c>
      <c r="K5" s="11">
        <f t="shared" si="0"/>
        <v>46235</v>
      </c>
      <c r="L5" s="11">
        <f t="shared" si="0"/>
        <v>46266</v>
      </c>
      <c r="M5" s="11">
        <f t="shared" si="0"/>
        <v>46296</v>
      </c>
      <c r="N5" s="11">
        <f t="shared" si="0"/>
        <v>46327</v>
      </c>
      <c r="O5" s="11">
        <f t="shared" si="0"/>
        <v>46357</v>
      </c>
      <c r="Q5" s="20" t="s">
        <v>3</v>
      </c>
      <c r="R5" s="20" t="s">
        <v>4</v>
      </c>
      <c r="S5" s="20" t="s">
        <v>5</v>
      </c>
      <c r="T5" s="20" t="s">
        <v>6</v>
      </c>
      <c r="V5" s="20" t="s">
        <v>7</v>
      </c>
    </row>
    <row r="6" spans="3:22" ht="6" customHeight="1" x14ac:dyDescent="0.2">
      <c r="D6" s="2"/>
      <c r="E6" s="2"/>
    </row>
    <row r="7" spans="3:22" x14ac:dyDescent="0.2">
      <c r="C7" s="17" t="s">
        <v>104</v>
      </c>
      <c r="D7" s="51">
        <v>0</v>
      </c>
      <c r="E7" s="51">
        <v>0</v>
      </c>
      <c r="F7" s="51">
        <v>0</v>
      </c>
      <c r="G7" s="51">
        <v>0</v>
      </c>
      <c r="H7" s="51">
        <v>0</v>
      </c>
      <c r="I7" s="51">
        <v>1</v>
      </c>
      <c r="J7" s="51">
        <v>0</v>
      </c>
      <c r="K7" s="51">
        <v>1</v>
      </c>
      <c r="L7" s="51">
        <v>0</v>
      </c>
      <c r="M7" s="51">
        <v>1</v>
      </c>
      <c r="N7" s="51">
        <v>0</v>
      </c>
      <c r="O7" s="51">
        <v>1</v>
      </c>
      <c r="Q7" s="44">
        <f>SUM(D7:F7)</f>
        <v>0</v>
      </c>
      <c r="R7" s="44">
        <f>SUM(G7:I7)</f>
        <v>1</v>
      </c>
      <c r="S7" s="44">
        <f>SUM(J7:L7)</f>
        <v>1</v>
      </c>
      <c r="T7" s="44">
        <f>SUM(M7:O7)</f>
        <v>2</v>
      </c>
      <c r="V7" s="44">
        <f>SUM(Q7:T7)</f>
        <v>4</v>
      </c>
    </row>
    <row r="8" spans="3:22" x14ac:dyDescent="0.2">
      <c r="C8" s="17" t="s">
        <v>105</v>
      </c>
      <c r="D8" s="51">
        <v>1</v>
      </c>
      <c r="E8" s="51">
        <v>1</v>
      </c>
      <c r="F8" s="51">
        <v>1</v>
      </c>
      <c r="G8" s="51">
        <v>3</v>
      </c>
      <c r="H8" s="51">
        <v>5</v>
      </c>
      <c r="I8" s="51">
        <v>5</v>
      </c>
      <c r="J8" s="51">
        <v>10</v>
      </c>
      <c r="K8" s="51">
        <v>10</v>
      </c>
      <c r="L8" s="51">
        <v>12</v>
      </c>
      <c r="M8" s="51">
        <v>12</v>
      </c>
      <c r="N8" s="51">
        <v>14</v>
      </c>
      <c r="O8" s="51">
        <v>14</v>
      </c>
      <c r="Q8" s="44">
        <f>SUM(D8:F8)</f>
        <v>3</v>
      </c>
      <c r="R8" s="44">
        <f>SUM(G8:I8)</f>
        <v>13</v>
      </c>
      <c r="S8" s="44">
        <f>SUM(J8:L8)</f>
        <v>32</v>
      </c>
      <c r="T8" s="44">
        <f>SUM(M8:O8)</f>
        <v>40</v>
      </c>
      <c r="V8" s="44">
        <f>SUM(Q8:T8)</f>
        <v>88</v>
      </c>
    </row>
    <row r="9" spans="3:22" s="16" customFormat="1" ht="13" x14ac:dyDescent="0.2">
      <c r="C9" s="15" t="s">
        <v>106</v>
      </c>
      <c r="D9" s="52">
        <f>SUM($D$7:D7)</f>
        <v>0</v>
      </c>
      <c r="E9" s="52">
        <f>SUM($D$7:E7)</f>
        <v>0</v>
      </c>
      <c r="F9" s="52">
        <f>SUM($D$7:F7)</f>
        <v>0</v>
      </c>
      <c r="G9" s="52">
        <f>SUM($D$7:G7)</f>
        <v>0</v>
      </c>
      <c r="H9" s="52">
        <f>SUM($D$7:H7)</f>
        <v>0</v>
      </c>
      <c r="I9" s="52">
        <f>SUM($D$7:I7)</f>
        <v>1</v>
      </c>
      <c r="J9" s="52">
        <f>SUM($D$7:J7)</f>
        <v>1</v>
      </c>
      <c r="K9" s="52">
        <f>SUM($D$7:K7)</f>
        <v>2</v>
      </c>
      <c r="L9" s="52">
        <f>SUM($D$7:L7)</f>
        <v>2</v>
      </c>
      <c r="M9" s="52">
        <f>SUM($D$7:M7)</f>
        <v>3</v>
      </c>
      <c r="N9" s="52">
        <f>SUM($D$7:N7)</f>
        <v>3</v>
      </c>
      <c r="O9" s="52">
        <f>SUM($D$7:O7)</f>
        <v>4</v>
      </c>
      <c r="Q9" s="86">
        <f t="shared" ref="Q9:Q11" si="1">F9</f>
        <v>0</v>
      </c>
      <c r="R9" s="15">
        <f t="shared" ref="R9:R11" si="2">I9</f>
        <v>1</v>
      </c>
      <c r="S9" s="15">
        <f t="shared" ref="S9:S11" si="3">L9</f>
        <v>2</v>
      </c>
      <c r="T9" s="15">
        <f t="shared" ref="T9:T11" si="4">O9</f>
        <v>4</v>
      </c>
      <c r="U9" s="15"/>
      <c r="V9" s="15">
        <f t="shared" ref="V9:V11" si="5">T9</f>
        <v>4</v>
      </c>
    </row>
    <row r="10" spans="3:22" s="16" customFormat="1" ht="13" x14ac:dyDescent="0.2">
      <c r="C10" s="15" t="s">
        <v>107</v>
      </c>
      <c r="D10" s="52">
        <f>SUM($D$8:D8)</f>
        <v>1</v>
      </c>
      <c r="E10" s="52">
        <f>SUM($D$8:E8)</f>
        <v>2</v>
      </c>
      <c r="F10" s="52">
        <f>SUM($D$8:F8)</f>
        <v>3</v>
      </c>
      <c r="G10" s="52">
        <f>SUM($D$8:G8)</f>
        <v>6</v>
      </c>
      <c r="H10" s="52">
        <f>SUM($D$8:H8)</f>
        <v>11</v>
      </c>
      <c r="I10" s="52">
        <f>SUM($D$8:I8)</f>
        <v>16</v>
      </c>
      <c r="J10" s="52">
        <f>SUM($D$8:J8)</f>
        <v>26</v>
      </c>
      <c r="K10" s="52">
        <f>SUM($D$8:K8)</f>
        <v>36</v>
      </c>
      <c r="L10" s="52">
        <f>SUM($D$8:L8)</f>
        <v>48</v>
      </c>
      <c r="M10" s="52">
        <f>SUM($D$8:M8)</f>
        <v>60</v>
      </c>
      <c r="N10" s="52">
        <f>SUM($D$8:N8)</f>
        <v>74</v>
      </c>
      <c r="O10" s="52">
        <f>SUM($D$8:O8)</f>
        <v>88</v>
      </c>
      <c r="Q10" s="86">
        <f t="shared" si="1"/>
        <v>3</v>
      </c>
      <c r="R10" s="15">
        <f t="shared" si="2"/>
        <v>16</v>
      </c>
      <c r="S10" s="15">
        <f t="shared" si="3"/>
        <v>48</v>
      </c>
      <c r="T10" s="15">
        <f t="shared" si="4"/>
        <v>88</v>
      </c>
      <c r="U10" s="15"/>
      <c r="V10" s="15">
        <f t="shared" si="5"/>
        <v>88</v>
      </c>
    </row>
    <row r="11" spans="3:22" s="16" customFormat="1" ht="13" x14ac:dyDescent="0.2">
      <c r="C11" s="15" t="s">
        <v>108</v>
      </c>
      <c r="D11" s="52">
        <f>SUM(D9:D10)</f>
        <v>1</v>
      </c>
      <c r="E11" s="52">
        <f t="shared" ref="E11:O11" si="6">SUM(E9:E10)</f>
        <v>2</v>
      </c>
      <c r="F11" s="52">
        <f t="shared" si="6"/>
        <v>3</v>
      </c>
      <c r="G11" s="52">
        <f t="shared" si="6"/>
        <v>6</v>
      </c>
      <c r="H11" s="52">
        <f t="shared" si="6"/>
        <v>11</v>
      </c>
      <c r="I11" s="52">
        <f t="shared" si="6"/>
        <v>17</v>
      </c>
      <c r="J11" s="52">
        <f t="shared" si="6"/>
        <v>27</v>
      </c>
      <c r="K11" s="52">
        <f t="shared" si="6"/>
        <v>38</v>
      </c>
      <c r="L11" s="52">
        <f t="shared" si="6"/>
        <v>50</v>
      </c>
      <c r="M11" s="52">
        <f t="shared" si="6"/>
        <v>63</v>
      </c>
      <c r="N11" s="52">
        <f t="shared" si="6"/>
        <v>77</v>
      </c>
      <c r="O11" s="52">
        <f t="shared" si="6"/>
        <v>92</v>
      </c>
      <c r="Q11" s="86">
        <f t="shared" si="1"/>
        <v>3</v>
      </c>
      <c r="R11" s="15">
        <f t="shared" si="2"/>
        <v>17</v>
      </c>
      <c r="S11" s="15">
        <f t="shared" si="3"/>
        <v>50</v>
      </c>
      <c r="T11" s="15">
        <f t="shared" si="4"/>
        <v>92</v>
      </c>
      <c r="U11" s="15"/>
      <c r="V11" s="15">
        <f t="shared" si="5"/>
        <v>92</v>
      </c>
    </row>
    <row r="12" spans="3:22" ht="6" customHeight="1" x14ac:dyDescent="0.2"/>
    <row r="13" spans="3:22" x14ac:dyDescent="0.2">
      <c r="C13" s="17" t="s">
        <v>109</v>
      </c>
    </row>
    <row r="14" spans="3:22" x14ac:dyDescent="0.2">
      <c r="C14" s="83" t="s">
        <v>110</v>
      </c>
    </row>
    <row r="15" spans="3:22" x14ac:dyDescent="0.2">
      <c r="C15" s="84" t="s">
        <v>111</v>
      </c>
      <c r="D15" s="85">
        <f>SUM($D$7:D7)</f>
        <v>0</v>
      </c>
      <c r="E15" s="85">
        <f>SUM($D$7:E7)</f>
        <v>0</v>
      </c>
      <c r="F15" s="85">
        <f>SUM($D$7:F7)</f>
        <v>0</v>
      </c>
      <c r="G15" s="85">
        <f>SUM($D$7:G7)</f>
        <v>0</v>
      </c>
      <c r="H15" s="85">
        <f>SUM($D$7:H7)</f>
        <v>0</v>
      </c>
      <c r="I15" s="85">
        <f>SUM($D$7:I7)</f>
        <v>1</v>
      </c>
      <c r="J15" s="85">
        <f>SUM($D$7:J7)</f>
        <v>1</v>
      </c>
      <c r="K15" s="85">
        <f>SUM($D$7:K7)</f>
        <v>2</v>
      </c>
      <c r="L15" s="85">
        <f>SUM($D$7:L7)</f>
        <v>2</v>
      </c>
      <c r="M15" s="85">
        <f>SUM($D$7:M7)</f>
        <v>3</v>
      </c>
      <c r="N15" s="85">
        <f>SUM($D$7:N7)</f>
        <v>3</v>
      </c>
      <c r="O15" s="85">
        <f>SUM($D$7:O7)</f>
        <v>4</v>
      </c>
      <c r="Q15" s="44">
        <f>F15</f>
        <v>0</v>
      </c>
      <c r="R15" s="44">
        <f>I15</f>
        <v>1</v>
      </c>
      <c r="S15" s="44">
        <f>L15</f>
        <v>2</v>
      </c>
      <c r="T15" s="44">
        <f>O15</f>
        <v>4</v>
      </c>
      <c r="V15" s="44">
        <f>T15</f>
        <v>4</v>
      </c>
    </row>
    <row r="16" spans="3:22" x14ac:dyDescent="0.2">
      <c r="C16" s="84" t="s">
        <v>112</v>
      </c>
      <c r="D16" s="45">
        <v>0</v>
      </c>
      <c r="E16" s="45">
        <v>0</v>
      </c>
      <c r="F16" s="44">
        <f>SUM($D$7:D7)</f>
        <v>0</v>
      </c>
      <c r="G16" s="44">
        <f>SUM($D$7:E7)</f>
        <v>0</v>
      </c>
      <c r="H16" s="44">
        <f>SUM($D$7:F7)</f>
        <v>0</v>
      </c>
      <c r="I16" s="44">
        <f>SUM($D$7:G7)</f>
        <v>0</v>
      </c>
      <c r="J16" s="44">
        <f>SUM($D$7:H7)</f>
        <v>0</v>
      </c>
      <c r="K16" s="44">
        <f>SUM($D$7:I7)</f>
        <v>1</v>
      </c>
      <c r="L16" s="44">
        <f>SUM($D$7:J7)</f>
        <v>1</v>
      </c>
      <c r="M16" s="44">
        <f>SUM($D$7:K7)</f>
        <v>2</v>
      </c>
      <c r="N16" s="44">
        <f>SUM($D$7:L7)</f>
        <v>2</v>
      </c>
      <c r="O16" s="44">
        <f>SUM($D$7:M7)</f>
        <v>3</v>
      </c>
      <c r="Q16" s="44">
        <f>F16</f>
        <v>0</v>
      </c>
      <c r="R16" s="44">
        <f>I16</f>
        <v>0</v>
      </c>
      <c r="S16" s="44">
        <f>L16</f>
        <v>1</v>
      </c>
      <c r="T16" s="44">
        <f>O16</f>
        <v>3</v>
      </c>
      <c r="V16" s="44">
        <f t="shared" ref="V16:V17" si="7">T16</f>
        <v>3</v>
      </c>
    </row>
    <row r="17" spans="3:22" x14ac:dyDescent="0.2">
      <c r="C17" s="84" t="s">
        <v>113</v>
      </c>
      <c r="D17" s="45">
        <v>0</v>
      </c>
      <c r="E17" s="45">
        <v>0</v>
      </c>
      <c r="F17" s="45">
        <v>0</v>
      </c>
      <c r="G17" s="44">
        <f>SUM($D$7:D7)</f>
        <v>0</v>
      </c>
      <c r="H17" s="44">
        <f>SUM($D$7:E7)</f>
        <v>0</v>
      </c>
      <c r="I17" s="44">
        <f>SUM($D$7:F7)</f>
        <v>0</v>
      </c>
      <c r="J17" s="44">
        <f>SUM($D$7:G7)</f>
        <v>0</v>
      </c>
      <c r="K17" s="44">
        <f>SUM($D$7:H7)</f>
        <v>0</v>
      </c>
      <c r="L17" s="44">
        <f>SUM($D$7:I7)</f>
        <v>1</v>
      </c>
      <c r="M17" s="44">
        <f>SUM($D$7:J7)</f>
        <v>1</v>
      </c>
      <c r="N17" s="44">
        <f>SUM($D$7:K7)</f>
        <v>2</v>
      </c>
      <c r="O17" s="44">
        <f>SUM($D$7:L7)</f>
        <v>2</v>
      </c>
      <c r="Q17" s="44">
        <f>F17</f>
        <v>0</v>
      </c>
      <c r="R17" s="44">
        <f>I17</f>
        <v>0</v>
      </c>
      <c r="S17" s="44">
        <f>L17</f>
        <v>1</v>
      </c>
      <c r="T17" s="44">
        <f>O17</f>
        <v>2</v>
      </c>
      <c r="V17" s="44">
        <f t="shared" si="7"/>
        <v>2</v>
      </c>
    </row>
    <row r="18" spans="3:22" x14ac:dyDescent="0.2">
      <c r="C18" s="83" t="s">
        <v>80</v>
      </c>
    </row>
    <row r="19" spans="3:22" x14ac:dyDescent="0.2">
      <c r="C19" s="84" t="s">
        <v>111</v>
      </c>
      <c r="D19" s="85">
        <f>SUM($D$8:D8)</f>
        <v>1</v>
      </c>
      <c r="E19" s="85">
        <f>SUM($D$8:E8)</f>
        <v>2</v>
      </c>
      <c r="F19" s="85">
        <f>SUM($D$8:F8)</f>
        <v>3</v>
      </c>
      <c r="G19" s="85">
        <f>SUM($D$8:G8)</f>
        <v>6</v>
      </c>
      <c r="H19" s="85">
        <f>SUM($D$8:H8)</f>
        <v>11</v>
      </c>
      <c r="I19" s="85">
        <f>SUM($D$8:I8)</f>
        <v>16</v>
      </c>
      <c r="J19" s="85">
        <f>SUM($D$8:J8)</f>
        <v>26</v>
      </c>
      <c r="K19" s="85">
        <f>SUM($D$8:K8)</f>
        <v>36</v>
      </c>
      <c r="L19" s="85">
        <f>SUM($D$8:L8)</f>
        <v>48</v>
      </c>
      <c r="M19" s="85">
        <f>SUM($D$8:M8)</f>
        <v>60</v>
      </c>
      <c r="N19" s="85">
        <f>SUM($D$8:N8)</f>
        <v>74</v>
      </c>
      <c r="O19" s="85">
        <f>SUM($D$8:O8)</f>
        <v>88</v>
      </c>
      <c r="Q19" s="44">
        <f>F19</f>
        <v>3</v>
      </c>
      <c r="R19" s="44">
        <f>I19</f>
        <v>16</v>
      </c>
      <c r="S19" s="44">
        <f>L19</f>
        <v>48</v>
      </c>
      <c r="T19" s="44">
        <f>O19</f>
        <v>88</v>
      </c>
      <c r="V19" s="44">
        <f t="shared" ref="V19:V21" si="8">T19</f>
        <v>88</v>
      </c>
    </row>
    <row r="20" spans="3:22" x14ac:dyDescent="0.2">
      <c r="C20" s="84" t="s">
        <v>112</v>
      </c>
      <c r="D20" s="45">
        <v>0</v>
      </c>
      <c r="E20" s="45">
        <v>0</v>
      </c>
      <c r="F20" s="44">
        <f>SUM($D$8:D8)</f>
        <v>1</v>
      </c>
      <c r="G20" s="44">
        <f>SUM($D$8:E8)</f>
        <v>2</v>
      </c>
      <c r="H20" s="44">
        <f>SUM($D$8:F8)</f>
        <v>3</v>
      </c>
      <c r="I20" s="44">
        <f>SUM($D$8:G8)</f>
        <v>6</v>
      </c>
      <c r="J20" s="44">
        <f>SUM($D$8:H8)</f>
        <v>11</v>
      </c>
      <c r="K20" s="44">
        <f>SUM($D$8:I8)</f>
        <v>16</v>
      </c>
      <c r="L20" s="44">
        <f>SUM($D$8:J8)</f>
        <v>26</v>
      </c>
      <c r="M20" s="44">
        <f>SUM($D$8:K8)</f>
        <v>36</v>
      </c>
      <c r="N20" s="44">
        <f>SUM($D$8:L8)</f>
        <v>48</v>
      </c>
      <c r="O20" s="44">
        <f>SUM($D$8:M8)</f>
        <v>60</v>
      </c>
      <c r="Q20" s="44">
        <f>F20</f>
        <v>1</v>
      </c>
      <c r="R20" s="44">
        <f>I20</f>
        <v>6</v>
      </c>
      <c r="S20" s="44">
        <f>L20</f>
        <v>26</v>
      </c>
      <c r="T20" s="44">
        <f>O20</f>
        <v>60</v>
      </c>
      <c r="V20" s="44">
        <f t="shared" si="8"/>
        <v>60</v>
      </c>
    </row>
    <row r="21" spans="3:22" x14ac:dyDescent="0.2">
      <c r="C21" s="84" t="s">
        <v>113</v>
      </c>
      <c r="D21" s="45">
        <v>0</v>
      </c>
      <c r="E21" s="45">
        <v>0</v>
      </c>
      <c r="F21" s="45">
        <v>0</v>
      </c>
      <c r="G21" s="44">
        <f>SUM($D$8:D8)</f>
        <v>1</v>
      </c>
      <c r="H21" s="44">
        <f>SUM($D$8:E8)</f>
        <v>2</v>
      </c>
      <c r="I21" s="44">
        <f>SUM($D$8:F8)</f>
        <v>3</v>
      </c>
      <c r="J21" s="44">
        <f>SUM($D$8:G8)</f>
        <v>6</v>
      </c>
      <c r="K21" s="44">
        <f>SUM($D$8:H8)</f>
        <v>11</v>
      </c>
      <c r="L21" s="44">
        <f>SUM($D$8:I8)</f>
        <v>16</v>
      </c>
      <c r="M21" s="44">
        <f>SUM($D$8:J8)</f>
        <v>26</v>
      </c>
      <c r="N21" s="44">
        <f>SUM($D$8:K8)</f>
        <v>36</v>
      </c>
      <c r="O21" s="44">
        <f>SUM($D$8:L8)</f>
        <v>48</v>
      </c>
      <c r="Q21" s="44">
        <f>F21</f>
        <v>0</v>
      </c>
      <c r="R21" s="44">
        <f>I21</f>
        <v>3</v>
      </c>
      <c r="S21" s="44">
        <f>L21</f>
        <v>16</v>
      </c>
      <c r="T21" s="44">
        <f>O21</f>
        <v>48</v>
      </c>
      <c r="V21" s="44">
        <f t="shared" si="8"/>
        <v>48</v>
      </c>
    </row>
    <row r="22" spans="3:22" ht="6" customHeight="1" x14ac:dyDescent="0.2"/>
    <row r="23" spans="3:22" x14ac:dyDescent="0.2">
      <c r="C23" s="17" t="s">
        <v>114</v>
      </c>
    </row>
    <row r="24" spans="3:22" x14ac:dyDescent="0.2">
      <c r="C24" s="83" t="s">
        <v>76</v>
      </c>
    </row>
    <row r="25" spans="3:22" x14ac:dyDescent="0.2">
      <c r="C25" s="84" t="s">
        <v>10</v>
      </c>
      <c r="D25" s="54">
        <f>D17*'Solution Offering'!$J5</f>
        <v>0</v>
      </c>
      <c r="E25" s="54">
        <f>E17*'Solution Offering'!$J5</f>
        <v>0</v>
      </c>
      <c r="F25" s="54">
        <f>F17*'Solution Offering'!$J5</f>
        <v>0</v>
      </c>
      <c r="G25" s="54">
        <f>G17*'Solution Offering'!$J5</f>
        <v>0</v>
      </c>
      <c r="H25" s="54">
        <f>H17*'Solution Offering'!$J5</f>
        <v>0</v>
      </c>
      <c r="I25" s="54">
        <f>I17*'Solution Offering'!$J5</f>
        <v>0</v>
      </c>
      <c r="J25" s="54">
        <f>J17*'Solution Offering'!$J5</f>
        <v>0</v>
      </c>
      <c r="K25" s="54">
        <f>K17*'Solution Offering'!$J5</f>
        <v>0</v>
      </c>
      <c r="L25" s="54">
        <f>L17*'Solution Offering'!$J5</f>
        <v>5</v>
      </c>
      <c r="M25" s="54">
        <f>M17*'Solution Offering'!$J5</f>
        <v>5</v>
      </c>
      <c r="N25" s="54">
        <f>N17*'Solution Offering'!$J5</f>
        <v>10</v>
      </c>
      <c r="O25" s="54">
        <f>O17*'Solution Offering'!$J5</f>
        <v>10</v>
      </c>
      <c r="Q25" s="44">
        <f>F25</f>
        <v>0</v>
      </c>
      <c r="R25" s="44">
        <f>I25</f>
        <v>0</v>
      </c>
      <c r="S25" s="44">
        <f>L25</f>
        <v>5</v>
      </c>
      <c r="T25" s="44">
        <f>O25</f>
        <v>10</v>
      </c>
      <c r="V25" s="44">
        <f t="shared" ref="V25" si="9">T25</f>
        <v>10</v>
      </c>
    </row>
    <row r="26" spans="3:22" x14ac:dyDescent="0.2">
      <c r="C26" s="84" t="s">
        <v>11</v>
      </c>
      <c r="D26" s="45">
        <v>0</v>
      </c>
      <c r="E26" s="54">
        <f>(E25-D25)*'Solution Offering'!$J6</f>
        <v>0</v>
      </c>
      <c r="F26" s="54">
        <f>(F25-E25)*'Solution Offering'!$J6</f>
        <v>0</v>
      </c>
      <c r="G26" s="54">
        <f>(G25-F25)*'Solution Offering'!$J6</f>
        <v>0</v>
      </c>
      <c r="H26" s="54">
        <f>(H25-G25)*'Solution Offering'!$J6</f>
        <v>0</v>
      </c>
      <c r="I26" s="54">
        <f>(I25-H25)*'Solution Offering'!$J6</f>
        <v>0</v>
      </c>
      <c r="J26" s="54">
        <f>(J25-I25)*'Solution Offering'!$J6</f>
        <v>0</v>
      </c>
      <c r="K26" s="54">
        <f>(K25-J25)*'Solution Offering'!$J6</f>
        <v>0</v>
      </c>
      <c r="L26" s="54">
        <f>(L25-K25)*'Solution Offering'!$J6</f>
        <v>0</v>
      </c>
      <c r="M26" s="54">
        <f>(M25-L25)*'Solution Offering'!$J6</f>
        <v>0</v>
      </c>
      <c r="N26" s="54">
        <f>(N25-M25)*'Solution Offering'!$J6</f>
        <v>0</v>
      </c>
      <c r="O26" s="54">
        <f>(O25-N25)*'Solution Offering'!$J6</f>
        <v>0</v>
      </c>
      <c r="Q26" s="44">
        <f>SUM(D26:F26)</f>
        <v>0</v>
      </c>
      <c r="R26" s="44">
        <f>SUM(G26:I26)</f>
        <v>0</v>
      </c>
      <c r="S26" s="44">
        <f>SUM(J26:L26)</f>
        <v>0</v>
      </c>
      <c r="T26" s="44">
        <f>SUM(M26:O26)</f>
        <v>0</v>
      </c>
      <c r="V26" s="44">
        <f t="shared" ref="V26:V28" si="10">SUM(Q26:T26)</f>
        <v>0</v>
      </c>
    </row>
    <row r="27" spans="3:22" x14ac:dyDescent="0.2">
      <c r="C27" s="84" t="s">
        <v>12</v>
      </c>
      <c r="D27" s="45">
        <v>0</v>
      </c>
      <c r="E27" s="54">
        <f>(E15-D15)*'Solution Offering'!$J7*'Solution Offering'!$E$12+(E16-D16)*'Solution Offering'!$J7*'Solution Offering'!$F$12+('Sales Forecast'!E17-'Sales Forecast'!D17)*'Solution Offering'!$J7*'Solution Offering'!$G$12</f>
        <v>0</v>
      </c>
      <c r="F27" s="54">
        <f>(F15-E15)*'Solution Offering'!$J7*'Solution Offering'!$E$12+(F16-E16)*'Solution Offering'!$J7*'Solution Offering'!$F$12+('Sales Forecast'!F17-'Sales Forecast'!E17)*'Solution Offering'!$J7*'Solution Offering'!$G$12</f>
        <v>0</v>
      </c>
      <c r="G27" s="54">
        <f>(G15-F15)*'Solution Offering'!$J7*'Solution Offering'!$E$12+(G16-F16)*'Solution Offering'!$J7*'Solution Offering'!$F$12+('Sales Forecast'!G17-'Sales Forecast'!F17)*'Solution Offering'!$J7*'Solution Offering'!$G$12</f>
        <v>0</v>
      </c>
      <c r="H27" s="54">
        <f>(H15-G15)*'Solution Offering'!$J7*'Solution Offering'!$E$12+(H16-G16)*'Solution Offering'!$J7*'Solution Offering'!$F$12+('Sales Forecast'!H17-'Sales Forecast'!G17)*'Solution Offering'!$J7*'Solution Offering'!$G$12</f>
        <v>0</v>
      </c>
      <c r="I27" s="54">
        <f>(I15-H15)*'Solution Offering'!$J7*'Solution Offering'!$E$12+(I16-H16)*'Solution Offering'!$J7*'Solution Offering'!$F$12+('Sales Forecast'!I17-'Sales Forecast'!H17)*'Solution Offering'!$J7*'Solution Offering'!$G$12</f>
        <v>3</v>
      </c>
      <c r="J27" s="54">
        <f>(J15-I15)*'Solution Offering'!$J7*'Solution Offering'!$E$12+(J16-I16)*'Solution Offering'!$J7*'Solution Offering'!$F$12+('Sales Forecast'!J17-'Sales Forecast'!I17)*'Solution Offering'!$J7*'Solution Offering'!$G$12</f>
        <v>0</v>
      </c>
      <c r="K27" s="54">
        <f>(K15-J15)*'Solution Offering'!$J7*'Solution Offering'!$E$12+(K16-J16)*'Solution Offering'!$J7*'Solution Offering'!$F$12+('Sales Forecast'!K17-'Sales Forecast'!J17)*'Solution Offering'!$J7*'Solution Offering'!$G$12</f>
        <v>3</v>
      </c>
      <c r="L27" s="54">
        <f>(L15-K15)*'Solution Offering'!$J7*'Solution Offering'!$E$12+(L16-K16)*'Solution Offering'!$J7*'Solution Offering'!$F$12+('Sales Forecast'!L17-'Sales Forecast'!K17)*'Solution Offering'!$J7*'Solution Offering'!$G$12</f>
        <v>0</v>
      </c>
      <c r="M27" s="54">
        <f>(M15-L15)*'Solution Offering'!$J7*'Solution Offering'!$E$12+(M16-L16)*'Solution Offering'!$J7*'Solution Offering'!$F$12+('Sales Forecast'!M17-'Sales Forecast'!L17)*'Solution Offering'!$J7*'Solution Offering'!$G$12</f>
        <v>3</v>
      </c>
      <c r="N27" s="54">
        <f>(N15-M15)*'Solution Offering'!$J7*'Solution Offering'!$E$12+(N16-M16)*'Solution Offering'!$J7*'Solution Offering'!$F$12+('Sales Forecast'!N17-'Sales Forecast'!M17)*'Solution Offering'!$J7*'Solution Offering'!$G$12</f>
        <v>0</v>
      </c>
      <c r="O27" s="54">
        <f>(O15-N15)*'Solution Offering'!$J7*'Solution Offering'!$E$12+(O16-N16)*'Solution Offering'!$J7*'Solution Offering'!$F$12+('Sales Forecast'!O17-'Sales Forecast'!N17)*'Solution Offering'!$J7*'Solution Offering'!$G$12</f>
        <v>3</v>
      </c>
      <c r="Q27" s="44">
        <f>SUM(D27:F27)</f>
        <v>0</v>
      </c>
      <c r="R27" s="44">
        <f>SUM(G27:I27)</f>
        <v>3</v>
      </c>
      <c r="S27" s="44">
        <f>SUM(J27:L27)</f>
        <v>3</v>
      </c>
      <c r="T27" s="44">
        <f>SUM(M27:O27)</f>
        <v>6</v>
      </c>
      <c r="V27" s="44">
        <f t="shared" si="10"/>
        <v>12</v>
      </c>
    </row>
    <row r="28" spans="3:22" x14ac:dyDescent="0.2">
      <c r="C28" s="84" t="s">
        <v>13</v>
      </c>
      <c r="D28" s="54">
        <f>D15*'Solution Offering'!$J8*'Solution Offering'!$E$13+'Sales Forecast'!D16*'Solution Offering'!$J8*'Solution Offering'!$F$13+'Sales Forecast'!D17*'Solution Offering'!$J8*'Solution Offering'!$G$13</f>
        <v>0</v>
      </c>
      <c r="E28" s="54">
        <f>E15*'Solution Offering'!$J8*'Solution Offering'!$E$13+'Sales Forecast'!E16*'Solution Offering'!$J8*'Solution Offering'!$F$13+'Sales Forecast'!E17*'Solution Offering'!$J8*'Solution Offering'!$G$13</f>
        <v>0</v>
      </c>
      <c r="F28" s="54">
        <f>F15*'Solution Offering'!$J8*'Solution Offering'!$E$13+'Sales Forecast'!F16*'Solution Offering'!$J8*'Solution Offering'!$F$13+'Sales Forecast'!F17*'Solution Offering'!$J8*'Solution Offering'!$G$13</f>
        <v>0</v>
      </c>
      <c r="G28" s="54">
        <f>G15*'Solution Offering'!$J8*'Solution Offering'!$E$13+'Sales Forecast'!G16*'Solution Offering'!$J8*'Solution Offering'!$F$13+'Sales Forecast'!G17*'Solution Offering'!$J8*'Solution Offering'!$G$13</f>
        <v>0</v>
      </c>
      <c r="H28" s="54">
        <f>H15*'Solution Offering'!$J8*'Solution Offering'!$E$13+'Sales Forecast'!H16*'Solution Offering'!$J8*'Solution Offering'!$F$13+'Sales Forecast'!H17*'Solution Offering'!$J8*'Solution Offering'!$G$13</f>
        <v>0</v>
      </c>
      <c r="I28" s="54">
        <f>I15*'Solution Offering'!$J8*'Solution Offering'!$E$13+'Sales Forecast'!I16*'Solution Offering'!$J8*'Solution Offering'!$F$13+'Sales Forecast'!I17*'Solution Offering'!$J8*'Solution Offering'!$G$13</f>
        <v>0</v>
      </c>
      <c r="J28" s="54">
        <f>J15*'Solution Offering'!$J8*'Solution Offering'!$E$13+'Sales Forecast'!J16*'Solution Offering'!$J8*'Solution Offering'!$F$13+'Sales Forecast'!J17*'Solution Offering'!$J8*'Solution Offering'!$G$13</f>
        <v>0</v>
      </c>
      <c r="K28" s="54">
        <f>K15*'Solution Offering'!$J8*'Solution Offering'!$E$13+'Sales Forecast'!K16*'Solution Offering'!$J8*'Solution Offering'!$F$13+'Sales Forecast'!K17*'Solution Offering'!$J8*'Solution Offering'!$G$13</f>
        <v>0</v>
      </c>
      <c r="L28" s="54">
        <f>L15*'Solution Offering'!$J8*'Solution Offering'!$E$13+'Sales Forecast'!L16*'Solution Offering'!$J8*'Solution Offering'!$F$13+'Sales Forecast'!L17*'Solution Offering'!$J8*'Solution Offering'!$G$13</f>
        <v>3</v>
      </c>
      <c r="M28" s="54">
        <f>M15*'Solution Offering'!$J8*'Solution Offering'!$E$13+'Sales Forecast'!M16*'Solution Offering'!$J8*'Solution Offering'!$F$13+'Sales Forecast'!M17*'Solution Offering'!$J8*'Solution Offering'!$G$13</f>
        <v>3</v>
      </c>
      <c r="N28" s="54">
        <f>N15*'Solution Offering'!$J8*'Solution Offering'!$E$13+'Sales Forecast'!N16*'Solution Offering'!$J8*'Solution Offering'!$F$13+'Sales Forecast'!N17*'Solution Offering'!$J8*'Solution Offering'!$G$13</f>
        <v>6</v>
      </c>
      <c r="O28" s="54">
        <f>O15*'Solution Offering'!$J8*'Solution Offering'!$E$13+'Sales Forecast'!O16*'Solution Offering'!$J8*'Solution Offering'!$F$13+'Sales Forecast'!O17*'Solution Offering'!$J8*'Solution Offering'!$G$13</f>
        <v>6</v>
      </c>
      <c r="Q28" s="44">
        <f>SUM(D28:F28)</f>
        <v>0</v>
      </c>
      <c r="R28" s="44">
        <f>SUM(G28:I28)</f>
        <v>0</v>
      </c>
      <c r="S28" s="44">
        <f>SUM(J28:L28)</f>
        <v>3</v>
      </c>
      <c r="T28" s="44">
        <f>SUM(M28:O28)</f>
        <v>15</v>
      </c>
      <c r="V28" s="44">
        <f t="shared" si="10"/>
        <v>18</v>
      </c>
    </row>
    <row r="29" spans="3:22" x14ac:dyDescent="0.2">
      <c r="C29" s="83" t="s">
        <v>80</v>
      </c>
      <c r="D29" s="54"/>
    </row>
    <row r="30" spans="3:22" x14ac:dyDescent="0.2">
      <c r="C30" s="84" t="s">
        <v>10</v>
      </c>
      <c r="D30" s="54">
        <f>D21*'Solution Offering'!$J5</f>
        <v>0</v>
      </c>
      <c r="E30" s="54">
        <f>E21*'Solution Offering'!$J5</f>
        <v>0</v>
      </c>
      <c r="F30" s="54">
        <f>F21*'Solution Offering'!$J5</f>
        <v>0</v>
      </c>
      <c r="G30" s="54">
        <f>G21*'Solution Offering'!$J5</f>
        <v>5</v>
      </c>
      <c r="H30" s="54">
        <f>H21*'Solution Offering'!$J5</f>
        <v>10</v>
      </c>
      <c r="I30" s="54">
        <f>I21*'Solution Offering'!$J5</f>
        <v>15</v>
      </c>
      <c r="J30" s="54">
        <f>J21*'Solution Offering'!$J5</f>
        <v>30</v>
      </c>
      <c r="K30" s="54">
        <f>K21*'Solution Offering'!$J5</f>
        <v>55</v>
      </c>
      <c r="L30" s="54">
        <f>L21*'Solution Offering'!$J5</f>
        <v>80</v>
      </c>
      <c r="M30" s="54">
        <f>M21*'Solution Offering'!$J5</f>
        <v>130</v>
      </c>
      <c r="N30" s="54">
        <f>N21*'Solution Offering'!$J5</f>
        <v>180</v>
      </c>
      <c r="O30" s="54">
        <f>O21*'Solution Offering'!$J5</f>
        <v>240</v>
      </c>
      <c r="Q30" s="44">
        <f>F30</f>
        <v>0</v>
      </c>
      <c r="R30" s="44">
        <f>I30</f>
        <v>15</v>
      </c>
      <c r="S30" s="44">
        <f>L30</f>
        <v>80</v>
      </c>
      <c r="T30" s="44">
        <f>O30</f>
        <v>240</v>
      </c>
      <c r="V30" s="44">
        <f t="shared" ref="V30" si="11">T30</f>
        <v>240</v>
      </c>
    </row>
    <row r="31" spans="3:22" x14ac:dyDescent="0.2">
      <c r="C31" s="84" t="s">
        <v>11</v>
      </c>
      <c r="D31" s="45">
        <v>0</v>
      </c>
      <c r="E31" s="54">
        <f>(E30-D30)*'Solution Offering'!$J6</f>
        <v>0</v>
      </c>
      <c r="F31" s="54">
        <f>(F30-E30)*'Solution Offering'!$J6</f>
        <v>0</v>
      </c>
      <c r="G31" s="54">
        <f>(G30-F30)*'Solution Offering'!$J6</f>
        <v>0</v>
      </c>
      <c r="H31" s="54">
        <f>(H30-G30)*'Solution Offering'!$J6</f>
        <v>0</v>
      </c>
      <c r="I31" s="54">
        <f>(I30-H30)*'Solution Offering'!$J6</f>
        <v>0</v>
      </c>
      <c r="J31" s="54">
        <f>(J30-I30)*'Solution Offering'!$J6</f>
        <v>0</v>
      </c>
      <c r="K31" s="54">
        <f>(K30-J30)*'Solution Offering'!$J6</f>
        <v>0</v>
      </c>
      <c r="L31" s="54">
        <f>(L30-K30)*'Solution Offering'!$J6</f>
        <v>0</v>
      </c>
      <c r="M31" s="54">
        <f>(M30-L30)*'Solution Offering'!$J6</f>
        <v>0</v>
      </c>
      <c r="N31" s="54">
        <f>(N30-M30)*'Solution Offering'!$J6</f>
        <v>0</v>
      </c>
      <c r="O31" s="54">
        <f>(O30-N30)*'Solution Offering'!$J6</f>
        <v>0</v>
      </c>
      <c r="Q31" s="44">
        <f t="shared" ref="Q31:Q33" si="12">SUM(D31:F31)</f>
        <v>0</v>
      </c>
      <c r="R31" s="44">
        <f t="shared" ref="R31:R33" si="13">SUM(G31:I31)</f>
        <v>0</v>
      </c>
      <c r="S31" s="44">
        <f t="shared" ref="S31:S33" si="14">SUM(J31:L31)</f>
        <v>0</v>
      </c>
      <c r="T31" s="44">
        <f t="shared" ref="T31:T33" si="15">SUM(M31:O31)</f>
        <v>0</v>
      </c>
      <c r="V31" s="44">
        <f t="shared" ref="V31:V33" si="16">SUM(Q31:T31)</f>
        <v>0</v>
      </c>
    </row>
    <row r="32" spans="3:22" x14ac:dyDescent="0.2">
      <c r="C32" s="84" t="s">
        <v>12</v>
      </c>
      <c r="D32" s="45">
        <v>0</v>
      </c>
      <c r="E32" s="54">
        <f>(E19-D19)*'Solution Offering'!$J7*'Solution Offering'!$E$12+('Sales Forecast'!E20-'Sales Forecast'!D20)*'Solution Offering'!$J7*'Solution Offering'!$F$12+('Sales Forecast'!E21-'Sales Forecast'!D21)*'Solution Offering'!$J7*'Solution Offering'!$G$12</f>
        <v>3</v>
      </c>
      <c r="F32" s="54">
        <f>(F19-E19)*'Solution Offering'!$J7*'Solution Offering'!$E$12+('Sales Forecast'!F20-'Sales Forecast'!E20)*'Solution Offering'!$J7*'Solution Offering'!$F$12+('Sales Forecast'!F21-'Sales Forecast'!E21)*'Solution Offering'!$J7*'Solution Offering'!$G$12</f>
        <v>3</v>
      </c>
      <c r="G32" s="54">
        <f>(G19-F19)*'Solution Offering'!$J7*'Solution Offering'!$E$12+('Sales Forecast'!G20-'Sales Forecast'!F20)*'Solution Offering'!$J7*'Solution Offering'!$F$12+('Sales Forecast'!G21-'Sales Forecast'!F21)*'Solution Offering'!$J7*'Solution Offering'!$G$12</f>
        <v>9</v>
      </c>
      <c r="H32" s="54">
        <f>(H19-G19)*'Solution Offering'!$J7*'Solution Offering'!$E$12+('Sales Forecast'!H20-'Sales Forecast'!G20)*'Solution Offering'!$J7*'Solution Offering'!$F$12+('Sales Forecast'!H21-'Sales Forecast'!G21)*'Solution Offering'!$J7*'Solution Offering'!$G$12</f>
        <v>15</v>
      </c>
      <c r="I32" s="54">
        <f>(I19-H19)*'Solution Offering'!$J7*'Solution Offering'!$E$12+('Sales Forecast'!I20-'Sales Forecast'!H20)*'Solution Offering'!$J7*'Solution Offering'!$F$12+('Sales Forecast'!I21-'Sales Forecast'!H21)*'Solution Offering'!$J7*'Solution Offering'!$G$12</f>
        <v>15</v>
      </c>
      <c r="J32" s="54">
        <f>(J19-I19)*'Solution Offering'!$J7*'Solution Offering'!$E$12+('Sales Forecast'!J20-'Sales Forecast'!I20)*'Solution Offering'!$J7*'Solution Offering'!$F$12+('Sales Forecast'!J21-'Sales Forecast'!I21)*'Solution Offering'!$J7*'Solution Offering'!$G$12</f>
        <v>30</v>
      </c>
      <c r="K32" s="54">
        <f>(K19-J19)*'Solution Offering'!$J7*'Solution Offering'!$E$12+('Sales Forecast'!K20-'Sales Forecast'!J20)*'Solution Offering'!$J7*'Solution Offering'!$F$12+('Sales Forecast'!K21-'Sales Forecast'!J21)*'Solution Offering'!$J7*'Solution Offering'!$G$12</f>
        <v>30</v>
      </c>
      <c r="L32" s="54">
        <f>(L19-K19)*'Solution Offering'!$J7*'Solution Offering'!$E$12+('Sales Forecast'!L20-'Sales Forecast'!K20)*'Solution Offering'!$J7*'Solution Offering'!$F$12+('Sales Forecast'!L21-'Sales Forecast'!K21)*'Solution Offering'!$J7*'Solution Offering'!$G$12</f>
        <v>36</v>
      </c>
      <c r="M32" s="54">
        <f>(M19-L19)*'Solution Offering'!$J7*'Solution Offering'!$E$12+('Sales Forecast'!M20-'Sales Forecast'!L20)*'Solution Offering'!$J7*'Solution Offering'!$F$12+('Sales Forecast'!M21-'Sales Forecast'!L21)*'Solution Offering'!$J7*'Solution Offering'!$G$12</f>
        <v>36</v>
      </c>
      <c r="N32" s="54">
        <f>(N19-M19)*'Solution Offering'!$J7*'Solution Offering'!$E$12+('Sales Forecast'!N20-'Sales Forecast'!M20)*'Solution Offering'!$J7*'Solution Offering'!$F$12+('Sales Forecast'!N21-'Sales Forecast'!M21)*'Solution Offering'!$J7*'Solution Offering'!$G$12</f>
        <v>42</v>
      </c>
      <c r="O32" s="54">
        <f>(O19-N19)*'Solution Offering'!$J7*'Solution Offering'!$E$12+('Sales Forecast'!O20-'Sales Forecast'!N20)*'Solution Offering'!$J7*'Solution Offering'!$F$12+('Sales Forecast'!O21-'Sales Forecast'!N21)*'Solution Offering'!$J7*'Solution Offering'!$G$12</f>
        <v>42</v>
      </c>
      <c r="Q32" s="44">
        <f t="shared" si="12"/>
        <v>6</v>
      </c>
      <c r="R32" s="44">
        <f t="shared" si="13"/>
        <v>39</v>
      </c>
      <c r="S32" s="44">
        <f t="shared" si="14"/>
        <v>96</v>
      </c>
      <c r="T32" s="44">
        <f t="shared" si="15"/>
        <v>120</v>
      </c>
      <c r="V32" s="44">
        <f t="shared" si="16"/>
        <v>261</v>
      </c>
    </row>
    <row r="33" spans="3:22" x14ac:dyDescent="0.2">
      <c r="C33" s="84" t="s">
        <v>13</v>
      </c>
      <c r="D33" s="54">
        <f>D19*'Solution Offering'!$J8*'Solution Offering'!$E$13+'Sales Forecast'!D20*'Solution Offering'!$J8*'Solution Offering'!$F$13+'Sales Forecast'!D21*'Solution Offering'!$J8*'Solution Offering'!$G$13</f>
        <v>0</v>
      </c>
      <c r="E33" s="54">
        <f>E19*'Solution Offering'!$J8*'Solution Offering'!$E$13+'Sales Forecast'!E20*'Solution Offering'!$J8*'Solution Offering'!$F$13+'Sales Forecast'!E21*'Solution Offering'!$J8*'Solution Offering'!$G$13</f>
        <v>0</v>
      </c>
      <c r="F33" s="54">
        <f>F19*'Solution Offering'!$J8*'Solution Offering'!$E$13+'Sales Forecast'!F20*'Solution Offering'!$J8*'Solution Offering'!$F$13+'Sales Forecast'!F21*'Solution Offering'!$J8*'Solution Offering'!$G$13</f>
        <v>0</v>
      </c>
      <c r="G33" s="54">
        <f>G19*'Solution Offering'!$J8*'Solution Offering'!$E$13+'Sales Forecast'!G20*'Solution Offering'!$J8*'Solution Offering'!$F$13+'Sales Forecast'!G21*'Solution Offering'!$J8*'Solution Offering'!$G$13</f>
        <v>3</v>
      </c>
      <c r="H33" s="54">
        <f>H19*'Solution Offering'!$J8*'Solution Offering'!$E$13+'Sales Forecast'!H20*'Solution Offering'!$J8*'Solution Offering'!$F$13+'Sales Forecast'!H21*'Solution Offering'!$J8*'Solution Offering'!$G$13</f>
        <v>6</v>
      </c>
      <c r="I33" s="54">
        <f>I19*'Solution Offering'!$J8*'Solution Offering'!$E$13+'Sales Forecast'!I20*'Solution Offering'!$J8*'Solution Offering'!$F$13+'Sales Forecast'!I21*'Solution Offering'!$J8*'Solution Offering'!$G$13</f>
        <v>9</v>
      </c>
      <c r="J33" s="54">
        <f>J19*'Solution Offering'!$J8*'Solution Offering'!$E$13+'Sales Forecast'!J20*'Solution Offering'!$J8*'Solution Offering'!$F$13+'Sales Forecast'!J21*'Solution Offering'!$J8*'Solution Offering'!$G$13</f>
        <v>18</v>
      </c>
      <c r="K33" s="54">
        <f>K19*'Solution Offering'!$J8*'Solution Offering'!$E$13+'Sales Forecast'!K20*'Solution Offering'!$J8*'Solution Offering'!$F$13+'Sales Forecast'!K21*'Solution Offering'!$J8*'Solution Offering'!$G$13</f>
        <v>33</v>
      </c>
      <c r="L33" s="54">
        <f>L19*'Solution Offering'!$J8*'Solution Offering'!$E$13+'Sales Forecast'!L20*'Solution Offering'!$J8*'Solution Offering'!$F$13+'Sales Forecast'!L21*'Solution Offering'!$J8*'Solution Offering'!$G$13</f>
        <v>48</v>
      </c>
      <c r="M33" s="54">
        <f>M19*'Solution Offering'!$J8*'Solution Offering'!$E$13+'Sales Forecast'!M20*'Solution Offering'!$J8*'Solution Offering'!$F$13+'Sales Forecast'!M21*'Solution Offering'!$J8*'Solution Offering'!$G$13</f>
        <v>78</v>
      </c>
      <c r="N33" s="54">
        <f>N19*'Solution Offering'!$J8*'Solution Offering'!$E$13+'Sales Forecast'!N20*'Solution Offering'!$J8*'Solution Offering'!$F$13+'Sales Forecast'!N21*'Solution Offering'!$J8*'Solution Offering'!$G$13</f>
        <v>108</v>
      </c>
      <c r="O33" s="54">
        <f>O19*'Solution Offering'!$J8*'Solution Offering'!$E$13+'Sales Forecast'!O20*'Solution Offering'!$J8*'Solution Offering'!$F$13+'Sales Forecast'!O21*'Solution Offering'!$J8*'Solution Offering'!$G$13</f>
        <v>144</v>
      </c>
      <c r="Q33" s="44">
        <f t="shared" si="12"/>
        <v>0</v>
      </c>
      <c r="R33" s="44">
        <f t="shared" si="13"/>
        <v>18</v>
      </c>
      <c r="S33" s="44">
        <f t="shared" si="14"/>
        <v>99</v>
      </c>
      <c r="T33" s="44">
        <f t="shared" si="15"/>
        <v>330</v>
      </c>
      <c r="V33" s="44">
        <f t="shared" si="16"/>
        <v>447</v>
      </c>
    </row>
    <row r="34" spans="3:22" ht="6" customHeight="1" x14ac:dyDescent="0.2"/>
    <row r="35" spans="3:22" x14ac:dyDescent="0.2">
      <c r="C35" s="17" t="s">
        <v>9</v>
      </c>
    </row>
    <row r="36" spans="3:22" x14ac:dyDescent="0.2">
      <c r="C36" s="83" t="s">
        <v>76</v>
      </c>
    </row>
    <row r="37" spans="3:22" x14ac:dyDescent="0.2">
      <c r="C37" s="84" t="s">
        <v>10</v>
      </c>
      <c r="D37" s="55">
        <f>D25*'Product &amp; Pricing List'!$P5</f>
        <v>0</v>
      </c>
      <c r="E37" s="55">
        <f>E25*'Product &amp; Pricing List'!$P5</f>
        <v>0</v>
      </c>
      <c r="F37" s="55">
        <f>F25*'Product &amp; Pricing List'!$P5</f>
        <v>0</v>
      </c>
      <c r="G37" s="55">
        <f>G25*'Product &amp; Pricing List'!$P5</f>
        <v>0</v>
      </c>
      <c r="H37" s="55">
        <f>H25*'Product &amp; Pricing List'!$P5</f>
        <v>0</v>
      </c>
      <c r="I37" s="55">
        <f>I25*'Product &amp; Pricing List'!$P5</f>
        <v>0</v>
      </c>
      <c r="J37" s="55">
        <f>J25*'Product &amp; Pricing List'!$P5</f>
        <v>0</v>
      </c>
      <c r="K37" s="55">
        <f>K25*'Product &amp; Pricing List'!$P5</f>
        <v>0</v>
      </c>
      <c r="L37" s="55">
        <f>L25*'Product &amp; Pricing List'!$P5</f>
        <v>7500</v>
      </c>
      <c r="M37" s="55">
        <f>M25*'Product &amp; Pricing List'!$P5</f>
        <v>7500</v>
      </c>
      <c r="N37" s="55">
        <f>N25*'Product &amp; Pricing List'!$P5</f>
        <v>15000</v>
      </c>
      <c r="O37" s="55">
        <f>O25*'Product &amp; Pricing List'!$P5</f>
        <v>15000</v>
      </c>
      <c r="Q37" s="7">
        <f t="shared" ref="Q37:Q40" si="17">SUM(D37:F37)</f>
        <v>0</v>
      </c>
      <c r="R37" s="7">
        <f t="shared" ref="R37:R40" si="18">SUM(G37:I37)</f>
        <v>0</v>
      </c>
      <c r="S37" s="7">
        <f t="shared" ref="S37:S40" si="19">SUM(J37:L37)</f>
        <v>7500</v>
      </c>
      <c r="T37" s="7">
        <f t="shared" ref="T37:T40" si="20">SUM(M37:O37)</f>
        <v>37500</v>
      </c>
      <c r="V37" s="7">
        <f t="shared" ref="V37:V40" si="21">SUM(Q37:T37)</f>
        <v>45000</v>
      </c>
    </row>
    <row r="38" spans="3:22" x14ac:dyDescent="0.2">
      <c r="C38" s="84" t="s">
        <v>11</v>
      </c>
      <c r="D38" s="55">
        <f>D26*'Product &amp; Pricing List'!$P7</f>
        <v>0</v>
      </c>
      <c r="E38" s="55">
        <f>E26*'Product &amp; Pricing List'!$P7</f>
        <v>0</v>
      </c>
      <c r="F38" s="55">
        <f>F26*'Product &amp; Pricing List'!$P7</f>
        <v>0</v>
      </c>
      <c r="G38" s="55">
        <f>G26*'Product &amp; Pricing List'!$P7</f>
        <v>0</v>
      </c>
      <c r="H38" s="55">
        <f>H26*'Product &amp; Pricing List'!$P7</f>
        <v>0</v>
      </c>
      <c r="I38" s="55">
        <f>I26*'Product &amp; Pricing List'!$P7</f>
        <v>0</v>
      </c>
      <c r="J38" s="55">
        <f>J26*'Product &amp; Pricing List'!$P7</f>
        <v>0</v>
      </c>
      <c r="K38" s="55">
        <f>K26*'Product &amp; Pricing List'!$P7</f>
        <v>0</v>
      </c>
      <c r="L38" s="55">
        <f>L26*'Product &amp; Pricing List'!$P7</f>
        <v>0</v>
      </c>
      <c r="M38" s="55">
        <f>M26*'Product &amp; Pricing List'!$P7</f>
        <v>0</v>
      </c>
      <c r="N38" s="55">
        <f>N26*'Product &amp; Pricing List'!$P7</f>
        <v>0</v>
      </c>
      <c r="O38" s="55">
        <f>O26*'Product &amp; Pricing List'!$P7</f>
        <v>0</v>
      </c>
      <c r="Q38" s="7">
        <f t="shared" si="17"/>
        <v>0</v>
      </c>
      <c r="R38" s="7">
        <f t="shared" si="18"/>
        <v>0</v>
      </c>
      <c r="S38" s="7">
        <f t="shared" si="19"/>
        <v>0</v>
      </c>
      <c r="T38" s="7">
        <f t="shared" si="20"/>
        <v>0</v>
      </c>
      <c r="V38" s="7">
        <f t="shared" si="21"/>
        <v>0</v>
      </c>
    </row>
    <row r="39" spans="3:22" x14ac:dyDescent="0.2">
      <c r="C39" s="84" t="s">
        <v>12</v>
      </c>
      <c r="D39" s="55">
        <f>D27*'Product &amp; Pricing List'!$P8</f>
        <v>0</v>
      </c>
      <c r="E39" s="55">
        <f>E27*'Product &amp; Pricing List'!$P8</f>
        <v>0</v>
      </c>
      <c r="F39" s="55">
        <f>F27*'Product &amp; Pricing List'!$P8</f>
        <v>0</v>
      </c>
      <c r="G39" s="55">
        <f>G27*'Product &amp; Pricing List'!$P8</f>
        <v>0</v>
      </c>
      <c r="H39" s="55">
        <f>H27*'Product &amp; Pricing List'!$P8</f>
        <v>0</v>
      </c>
      <c r="I39" s="55">
        <f>I27*'Product &amp; Pricing List'!$P8</f>
        <v>765</v>
      </c>
      <c r="J39" s="55">
        <f>J27*'Product &amp; Pricing List'!$P8</f>
        <v>0</v>
      </c>
      <c r="K39" s="55">
        <f>K27*'Product &amp; Pricing List'!$P8</f>
        <v>765</v>
      </c>
      <c r="L39" s="55">
        <f>L27*'Product &amp; Pricing List'!$P8</f>
        <v>0</v>
      </c>
      <c r="M39" s="55">
        <f>M27*'Product &amp; Pricing List'!$P8</f>
        <v>765</v>
      </c>
      <c r="N39" s="55">
        <f>N27*'Product &amp; Pricing List'!$P8</f>
        <v>0</v>
      </c>
      <c r="O39" s="55">
        <f>O27*'Product &amp; Pricing List'!$P8</f>
        <v>765</v>
      </c>
      <c r="Q39" s="7">
        <f t="shared" si="17"/>
        <v>0</v>
      </c>
      <c r="R39" s="7">
        <f t="shared" si="18"/>
        <v>765</v>
      </c>
      <c r="S39" s="7">
        <f t="shared" si="19"/>
        <v>765</v>
      </c>
      <c r="T39" s="7">
        <f t="shared" si="20"/>
        <v>1530</v>
      </c>
      <c r="V39" s="7">
        <f t="shared" si="21"/>
        <v>3060</v>
      </c>
    </row>
    <row r="40" spans="3:22" x14ac:dyDescent="0.2">
      <c r="C40" s="84" t="s">
        <v>13</v>
      </c>
      <c r="D40" s="55">
        <f>D28*'Product &amp; Pricing List'!$P8</f>
        <v>0</v>
      </c>
      <c r="E40" s="55">
        <f>E28*'Product &amp; Pricing List'!$P8</f>
        <v>0</v>
      </c>
      <c r="F40" s="55">
        <f>F28*'Product &amp; Pricing List'!$P8</f>
        <v>0</v>
      </c>
      <c r="G40" s="55">
        <f>G28*'Product &amp; Pricing List'!$P8</f>
        <v>0</v>
      </c>
      <c r="H40" s="55">
        <f>H28*'Product &amp; Pricing List'!$P8</f>
        <v>0</v>
      </c>
      <c r="I40" s="55">
        <f>I28*'Product &amp; Pricing List'!$P8</f>
        <v>0</v>
      </c>
      <c r="J40" s="55">
        <f>J28*'Product &amp; Pricing List'!$P8</f>
        <v>0</v>
      </c>
      <c r="K40" s="55">
        <f>K28*'Product &amp; Pricing List'!$P8</f>
        <v>0</v>
      </c>
      <c r="L40" s="55">
        <f>L28*'Product &amp; Pricing List'!$P8</f>
        <v>765</v>
      </c>
      <c r="M40" s="55">
        <f>M28*'Product &amp; Pricing List'!$P8</f>
        <v>765</v>
      </c>
      <c r="N40" s="55">
        <f>N28*'Product &amp; Pricing List'!$P8</f>
        <v>1530</v>
      </c>
      <c r="O40" s="55">
        <f>O28*'Product &amp; Pricing List'!$P8</f>
        <v>1530</v>
      </c>
      <c r="Q40" s="7">
        <f t="shared" si="17"/>
        <v>0</v>
      </c>
      <c r="R40" s="7">
        <f t="shared" si="18"/>
        <v>0</v>
      </c>
      <c r="S40" s="7">
        <f t="shared" si="19"/>
        <v>765</v>
      </c>
      <c r="T40" s="7">
        <f t="shared" si="20"/>
        <v>3825</v>
      </c>
      <c r="V40" s="7">
        <f t="shared" si="21"/>
        <v>4590</v>
      </c>
    </row>
    <row r="41" spans="3:22" x14ac:dyDescent="0.2">
      <c r="C41" s="57" t="s">
        <v>115</v>
      </c>
      <c r="D41" s="18">
        <f t="shared" ref="D41:O41" si="22">SUM(D37:D40)</f>
        <v>0</v>
      </c>
      <c r="E41" s="18">
        <f t="shared" si="22"/>
        <v>0</v>
      </c>
      <c r="F41" s="18">
        <f t="shared" si="22"/>
        <v>0</v>
      </c>
      <c r="G41" s="18">
        <f t="shared" si="22"/>
        <v>0</v>
      </c>
      <c r="H41" s="18">
        <f t="shared" si="22"/>
        <v>0</v>
      </c>
      <c r="I41" s="18">
        <f t="shared" si="22"/>
        <v>765</v>
      </c>
      <c r="J41" s="18">
        <f t="shared" si="22"/>
        <v>0</v>
      </c>
      <c r="K41" s="18">
        <f t="shared" si="22"/>
        <v>765</v>
      </c>
      <c r="L41" s="18">
        <f t="shared" si="22"/>
        <v>8265</v>
      </c>
      <c r="M41" s="18">
        <f t="shared" si="22"/>
        <v>9030</v>
      </c>
      <c r="N41" s="18">
        <f t="shared" si="22"/>
        <v>16530</v>
      </c>
      <c r="O41" s="18">
        <f t="shared" si="22"/>
        <v>17295</v>
      </c>
      <c r="Q41" s="18">
        <f>SUM(Q37:Q40)</f>
        <v>0</v>
      </c>
      <c r="R41" s="18">
        <f>SUM(R37:R40)</f>
        <v>765</v>
      </c>
      <c r="S41" s="18">
        <f>SUM(S37:S40)</f>
        <v>9030</v>
      </c>
      <c r="T41" s="18">
        <f>SUM(T37:T40)</f>
        <v>42855</v>
      </c>
      <c r="V41" s="18">
        <f>SUM(V37:V40)</f>
        <v>52650</v>
      </c>
    </row>
    <row r="42" spans="3:22" x14ac:dyDescent="0.2">
      <c r="C42" s="83" t="s">
        <v>80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Q42" s="7"/>
      <c r="R42" s="7"/>
      <c r="S42" s="7"/>
      <c r="T42" s="7"/>
      <c r="V42" s="7"/>
    </row>
    <row r="43" spans="3:22" x14ac:dyDescent="0.2">
      <c r="C43" s="84" t="s">
        <v>10</v>
      </c>
      <c r="D43" s="55">
        <f>D30*'Product &amp; Pricing List'!$P6</f>
        <v>0</v>
      </c>
      <c r="E43" s="55">
        <f>E30*'Product &amp; Pricing List'!$P6</f>
        <v>0</v>
      </c>
      <c r="F43" s="55">
        <f>F30*'Product &amp; Pricing List'!$P6</f>
        <v>0</v>
      </c>
      <c r="G43" s="55">
        <f>G30*'Product &amp; Pricing List'!$P6</f>
        <v>7500</v>
      </c>
      <c r="H43" s="55">
        <f>H30*'Product &amp; Pricing List'!$P6</f>
        <v>15000</v>
      </c>
      <c r="I43" s="55">
        <f>I30*'Product &amp; Pricing List'!$P6</f>
        <v>22500</v>
      </c>
      <c r="J43" s="55">
        <f>J30*'Product &amp; Pricing List'!$P6</f>
        <v>45000</v>
      </c>
      <c r="K43" s="55">
        <f>K30*'Product &amp; Pricing List'!$P6</f>
        <v>82500</v>
      </c>
      <c r="L43" s="55">
        <f>L30*'Product &amp; Pricing List'!$P6</f>
        <v>120000</v>
      </c>
      <c r="M43" s="55">
        <f>M30*'Product &amp; Pricing List'!$P6</f>
        <v>195000</v>
      </c>
      <c r="N43" s="55">
        <f>N30*'Product &amp; Pricing List'!$P6</f>
        <v>270000</v>
      </c>
      <c r="O43" s="55">
        <f>O30*'Product &amp; Pricing List'!$P6</f>
        <v>360000</v>
      </c>
      <c r="Q43" s="7">
        <f t="shared" ref="Q43:Q46" si="23">SUM(D43:F43)</f>
        <v>0</v>
      </c>
      <c r="R43" s="7">
        <f t="shared" ref="R43:R46" si="24">SUM(G43:I43)</f>
        <v>45000</v>
      </c>
      <c r="S43" s="7">
        <f t="shared" ref="S43:S46" si="25">SUM(J43:L43)</f>
        <v>247500</v>
      </c>
      <c r="T43" s="7">
        <f t="shared" ref="T43:T46" si="26">SUM(M43:O43)</f>
        <v>825000</v>
      </c>
      <c r="V43" s="7">
        <f t="shared" ref="V43:V46" si="27">SUM(Q43:T43)</f>
        <v>1117500</v>
      </c>
    </row>
    <row r="44" spans="3:22" x14ac:dyDescent="0.2">
      <c r="C44" s="84" t="s">
        <v>11</v>
      </c>
      <c r="D44" s="55">
        <f>D31*'Product &amp; Pricing List'!$P7</f>
        <v>0</v>
      </c>
      <c r="E44" s="55">
        <f>E31*'Product &amp; Pricing List'!$P7</f>
        <v>0</v>
      </c>
      <c r="F44" s="55">
        <f>F31*'Product &amp; Pricing List'!$P7</f>
        <v>0</v>
      </c>
      <c r="G44" s="55">
        <f>G31*'Product &amp; Pricing List'!$P7</f>
        <v>0</v>
      </c>
      <c r="H44" s="55">
        <f>H31*'Product &amp; Pricing List'!$P7</f>
        <v>0</v>
      </c>
      <c r="I44" s="55">
        <f>I31*'Product &amp; Pricing List'!$P7</f>
        <v>0</v>
      </c>
      <c r="J44" s="55">
        <f>J31*'Product &amp; Pricing List'!$P7</f>
        <v>0</v>
      </c>
      <c r="K44" s="55">
        <f>K31*'Product &amp; Pricing List'!$P7</f>
        <v>0</v>
      </c>
      <c r="L44" s="55">
        <f>L31*'Product &amp; Pricing List'!$P7</f>
        <v>0</v>
      </c>
      <c r="M44" s="55">
        <f>M31*'Product &amp; Pricing List'!$P7</f>
        <v>0</v>
      </c>
      <c r="N44" s="55">
        <f>N31*'Product &amp; Pricing List'!$P7</f>
        <v>0</v>
      </c>
      <c r="O44" s="55">
        <f>O31*'Product &amp; Pricing List'!$P7</f>
        <v>0</v>
      </c>
      <c r="Q44" s="7">
        <f t="shared" si="23"/>
        <v>0</v>
      </c>
      <c r="R44" s="7">
        <f t="shared" si="24"/>
        <v>0</v>
      </c>
      <c r="S44" s="7">
        <f t="shared" si="25"/>
        <v>0</v>
      </c>
      <c r="T44" s="7">
        <f t="shared" si="26"/>
        <v>0</v>
      </c>
      <c r="V44" s="7">
        <f t="shared" si="27"/>
        <v>0</v>
      </c>
    </row>
    <row r="45" spans="3:22" x14ac:dyDescent="0.2">
      <c r="C45" s="84" t="s">
        <v>12</v>
      </c>
      <c r="D45" s="55">
        <f>D32*'Product &amp; Pricing List'!$P8</f>
        <v>0</v>
      </c>
      <c r="E45" s="55">
        <f>E32*'Product &amp; Pricing List'!$P8</f>
        <v>765</v>
      </c>
      <c r="F45" s="55">
        <f>F32*'Product &amp; Pricing List'!$P8</f>
        <v>765</v>
      </c>
      <c r="G45" s="55">
        <f>G32*'Product &amp; Pricing List'!$P8</f>
        <v>2295</v>
      </c>
      <c r="H45" s="55">
        <f>H32*'Product &amp; Pricing List'!$P8</f>
        <v>3825</v>
      </c>
      <c r="I45" s="55">
        <f>I32*'Product &amp; Pricing List'!$P8</f>
        <v>3825</v>
      </c>
      <c r="J45" s="55">
        <f>J32*'Product &amp; Pricing List'!$P8</f>
        <v>7650</v>
      </c>
      <c r="K45" s="55">
        <f>K32*'Product &amp; Pricing List'!$P8</f>
        <v>7650</v>
      </c>
      <c r="L45" s="55">
        <f>L32*'Product &amp; Pricing List'!$P8</f>
        <v>9180</v>
      </c>
      <c r="M45" s="55">
        <f>M32*'Product &amp; Pricing List'!$P8</f>
        <v>9180</v>
      </c>
      <c r="N45" s="55">
        <f>N32*'Product &amp; Pricing List'!$P8</f>
        <v>10710</v>
      </c>
      <c r="O45" s="55">
        <f>O32*'Product &amp; Pricing List'!$P8</f>
        <v>10710</v>
      </c>
      <c r="Q45" s="7">
        <f t="shared" si="23"/>
        <v>1530</v>
      </c>
      <c r="R45" s="7">
        <f t="shared" si="24"/>
        <v>9945</v>
      </c>
      <c r="S45" s="7">
        <f t="shared" si="25"/>
        <v>24480</v>
      </c>
      <c r="T45" s="7">
        <f t="shared" si="26"/>
        <v>30600</v>
      </c>
      <c r="V45" s="7">
        <f t="shared" si="27"/>
        <v>66555</v>
      </c>
    </row>
    <row r="46" spans="3:22" x14ac:dyDescent="0.2">
      <c r="C46" s="84" t="s">
        <v>13</v>
      </c>
      <c r="D46" s="55">
        <f>D33*'Product &amp; Pricing List'!$P8</f>
        <v>0</v>
      </c>
      <c r="E46" s="55">
        <f>E33*'Product &amp; Pricing List'!$P8</f>
        <v>0</v>
      </c>
      <c r="F46" s="55">
        <f>F33*'Product &amp; Pricing List'!$P8</f>
        <v>0</v>
      </c>
      <c r="G46" s="55">
        <f>G33*'Product &amp; Pricing List'!$P8</f>
        <v>765</v>
      </c>
      <c r="H46" s="55">
        <f>H33*'Product &amp; Pricing List'!$P8</f>
        <v>1530</v>
      </c>
      <c r="I46" s="55">
        <f>I33*'Product &amp; Pricing List'!$P8</f>
        <v>2295</v>
      </c>
      <c r="J46" s="55">
        <f>J33*'Product &amp; Pricing List'!$P8</f>
        <v>4590</v>
      </c>
      <c r="K46" s="55">
        <f>K33*'Product &amp; Pricing List'!$P8</f>
        <v>8415</v>
      </c>
      <c r="L46" s="55">
        <f>L33*'Product &amp; Pricing List'!$P8</f>
        <v>12240</v>
      </c>
      <c r="M46" s="55">
        <f>M33*'Product &amp; Pricing List'!$P8</f>
        <v>19890</v>
      </c>
      <c r="N46" s="55">
        <f>N33*'Product &amp; Pricing List'!$P8</f>
        <v>27540</v>
      </c>
      <c r="O46" s="55">
        <f>O33*'Product &amp; Pricing List'!$P8</f>
        <v>36720</v>
      </c>
      <c r="Q46" s="7">
        <f t="shared" si="23"/>
        <v>0</v>
      </c>
      <c r="R46" s="7">
        <f t="shared" si="24"/>
        <v>4590</v>
      </c>
      <c r="S46" s="7">
        <f t="shared" si="25"/>
        <v>25245</v>
      </c>
      <c r="T46" s="7">
        <f t="shared" si="26"/>
        <v>84150</v>
      </c>
      <c r="V46" s="7">
        <f t="shared" si="27"/>
        <v>113985</v>
      </c>
    </row>
    <row r="47" spans="3:22" x14ac:dyDescent="0.2">
      <c r="C47" s="57" t="s">
        <v>116</v>
      </c>
      <c r="D47" s="18">
        <f t="shared" ref="D47:O47" si="28">SUM(D43:D46)</f>
        <v>0</v>
      </c>
      <c r="E47" s="18">
        <f t="shared" si="28"/>
        <v>765</v>
      </c>
      <c r="F47" s="18">
        <f t="shared" si="28"/>
        <v>765</v>
      </c>
      <c r="G47" s="18">
        <f t="shared" si="28"/>
        <v>10560</v>
      </c>
      <c r="H47" s="18">
        <f t="shared" si="28"/>
        <v>20355</v>
      </c>
      <c r="I47" s="18">
        <f t="shared" si="28"/>
        <v>28620</v>
      </c>
      <c r="J47" s="18">
        <f t="shared" si="28"/>
        <v>57240</v>
      </c>
      <c r="K47" s="18">
        <f t="shared" si="28"/>
        <v>98565</v>
      </c>
      <c r="L47" s="18">
        <f t="shared" si="28"/>
        <v>141420</v>
      </c>
      <c r="M47" s="18">
        <f t="shared" si="28"/>
        <v>224070</v>
      </c>
      <c r="N47" s="18">
        <f t="shared" si="28"/>
        <v>308250</v>
      </c>
      <c r="O47" s="18">
        <f t="shared" si="28"/>
        <v>407430</v>
      </c>
      <c r="Q47" s="18">
        <f>SUM(Q43:Q46)</f>
        <v>1530</v>
      </c>
      <c r="R47" s="18">
        <f>SUM(R43:R46)</f>
        <v>59535</v>
      </c>
      <c r="S47" s="18">
        <f>SUM(S43:S46)</f>
        <v>297225</v>
      </c>
      <c r="T47" s="18">
        <f>SUM(T43:T46)</f>
        <v>939750</v>
      </c>
      <c r="V47" s="18">
        <f>SUM(V43:V46)</f>
        <v>1298040</v>
      </c>
    </row>
    <row r="48" spans="3:22" x14ac:dyDescent="0.2">
      <c r="C48" s="8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Q48" s="7"/>
      <c r="R48" s="7"/>
      <c r="S48" s="7"/>
      <c r="T48" s="7"/>
      <c r="V48" s="7"/>
    </row>
    <row r="49" spans="3:22" ht="15" thickBot="1" x14ac:dyDescent="0.25">
      <c r="C49" s="17" t="s">
        <v>14</v>
      </c>
      <c r="D49" s="25">
        <f t="shared" ref="D49:O49" si="29">D41+D47</f>
        <v>0</v>
      </c>
      <c r="E49" s="25">
        <f t="shared" si="29"/>
        <v>765</v>
      </c>
      <c r="F49" s="25">
        <f t="shared" si="29"/>
        <v>765</v>
      </c>
      <c r="G49" s="25">
        <f t="shared" si="29"/>
        <v>10560</v>
      </c>
      <c r="H49" s="25">
        <f t="shared" si="29"/>
        <v>20355</v>
      </c>
      <c r="I49" s="25">
        <f t="shared" si="29"/>
        <v>29385</v>
      </c>
      <c r="J49" s="25">
        <f t="shared" si="29"/>
        <v>57240</v>
      </c>
      <c r="K49" s="25">
        <f t="shared" si="29"/>
        <v>99330</v>
      </c>
      <c r="L49" s="25">
        <f t="shared" si="29"/>
        <v>149685</v>
      </c>
      <c r="M49" s="25">
        <f t="shared" si="29"/>
        <v>233100</v>
      </c>
      <c r="N49" s="25">
        <f t="shared" si="29"/>
        <v>324780</v>
      </c>
      <c r="O49" s="25">
        <f t="shared" si="29"/>
        <v>424725</v>
      </c>
      <c r="Q49" s="25">
        <f>Q41+Q47</f>
        <v>1530</v>
      </c>
      <c r="R49" s="25">
        <f>R41+R47</f>
        <v>60300</v>
      </c>
      <c r="S49" s="25">
        <f>S41+S47</f>
        <v>306255</v>
      </c>
      <c r="T49" s="25">
        <f>T41+T47</f>
        <v>982605</v>
      </c>
      <c r="V49" s="25">
        <f>V41+V47</f>
        <v>1350690</v>
      </c>
    </row>
    <row r="50" spans="3:22" s="15" customFormat="1" ht="13" x14ac:dyDescent="0.2">
      <c r="C50" s="15" t="s">
        <v>15</v>
      </c>
      <c r="D50" s="21">
        <f t="shared" ref="D50:O50" si="30">SUM(D37:D37,D43:D43)*12</f>
        <v>0</v>
      </c>
      <c r="E50" s="21">
        <f t="shared" si="30"/>
        <v>0</v>
      </c>
      <c r="F50" s="21">
        <f t="shared" si="30"/>
        <v>0</v>
      </c>
      <c r="G50" s="21">
        <f t="shared" si="30"/>
        <v>90000</v>
      </c>
      <c r="H50" s="21">
        <f t="shared" si="30"/>
        <v>180000</v>
      </c>
      <c r="I50" s="21">
        <f t="shared" si="30"/>
        <v>270000</v>
      </c>
      <c r="J50" s="21">
        <f t="shared" si="30"/>
        <v>540000</v>
      </c>
      <c r="K50" s="21">
        <f t="shared" si="30"/>
        <v>990000</v>
      </c>
      <c r="L50" s="21">
        <f t="shared" si="30"/>
        <v>1530000</v>
      </c>
      <c r="M50" s="21">
        <f t="shared" si="30"/>
        <v>2430000</v>
      </c>
      <c r="N50" s="21">
        <f t="shared" si="30"/>
        <v>3420000</v>
      </c>
      <c r="O50" s="21">
        <f t="shared" si="30"/>
        <v>4500000</v>
      </c>
      <c r="Q50" s="21">
        <f>F50</f>
        <v>0</v>
      </c>
      <c r="R50" s="21">
        <f>I50</f>
        <v>270000</v>
      </c>
      <c r="S50" s="21">
        <f>L50</f>
        <v>1530000</v>
      </c>
      <c r="T50" s="21">
        <f>O50</f>
        <v>4500000</v>
      </c>
      <c r="V50" s="21">
        <f>T50</f>
        <v>4500000</v>
      </c>
    </row>
    <row r="51" spans="3:22" s="15" customFormat="1" ht="13" x14ac:dyDescent="0.2">
      <c r="C51" s="15" t="s">
        <v>16</v>
      </c>
      <c r="D51" s="23" t="str">
        <f t="shared" ref="D51:O51" si="31">IFERROR(SUM(D37:D37,D43:D43)/D$49,"nm")</f>
        <v>nm</v>
      </c>
      <c r="E51" s="23">
        <f t="shared" si="31"/>
        <v>0</v>
      </c>
      <c r="F51" s="23">
        <f t="shared" si="31"/>
        <v>0</v>
      </c>
      <c r="G51" s="23">
        <f t="shared" si="31"/>
        <v>0.71022727272727271</v>
      </c>
      <c r="H51" s="23">
        <f t="shared" si="31"/>
        <v>0.73691967575534267</v>
      </c>
      <c r="I51" s="23">
        <f t="shared" si="31"/>
        <v>0.76569678407350694</v>
      </c>
      <c r="J51" s="23">
        <f t="shared" si="31"/>
        <v>0.78616352201257866</v>
      </c>
      <c r="K51" s="23">
        <f t="shared" si="31"/>
        <v>0.83056478405315615</v>
      </c>
      <c r="L51" s="23">
        <f t="shared" si="31"/>
        <v>0.85178875638841567</v>
      </c>
      <c r="M51" s="23">
        <f t="shared" si="31"/>
        <v>0.86872586872586877</v>
      </c>
      <c r="N51" s="23">
        <f t="shared" si="31"/>
        <v>0.87751708849067056</v>
      </c>
      <c r="O51" s="23">
        <f t="shared" si="31"/>
        <v>0.88292424509977041</v>
      </c>
      <c r="Q51" s="23">
        <f>IFERROR(SUM(Q37:Q37,Q43:Q43)/Q$49,"nm")</f>
        <v>0</v>
      </c>
      <c r="R51" s="23">
        <f>IFERROR(SUM(R37:R37,R43:R43)/R$49,"nm")</f>
        <v>0.74626865671641796</v>
      </c>
      <c r="S51" s="23">
        <f>IFERROR(SUM(S37:S37,S43:S43)/S$49,"nm")</f>
        <v>0.83263946711074099</v>
      </c>
      <c r="T51" s="23">
        <f>IFERROR(SUM(T37:T37,T43:T43)/T$49,"nm")</f>
        <v>0.87776878806845071</v>
      </c>
      <c r="V51" s="23">
        <f>IFERROR(SUM(V37:V37,V43:V43)/V$49,"nm")</f>
        <v>0.86067121249139333</v>
      </c>
    </row>
    <row r="52" spans="3:22" s="15" customFormat="1" ht="13" x14ac:dyDescent="0.2">
      <c r="C52" s="15" t="s">
        <v>17</v>
      </c>
      <c r="D52" s="23" t="str">
        <f t="shared" ref="D52:O52" si="32">IFERROR(SUM(D38:D40,D44:D46)/D$49,"nm")</f>
        <v>nm</v>
      </c>
      <c r="E52" s="23">
        <f t="shared" si="32"/>
        <v>1</v>
      </c>
      <c r="F52" s="23">
        <f t="shared" si="32"/>
        <v>1</v>
      </c>
      <c r="G52" s="23">
        <f t="shared" si="32"/>
        <v>0.28977272727272729</v>
      </c>
      <c r="H52" s="23">
        <f t="shared" si="32"/>
        <v>0.26308032424465733</v>
      </c>
      <c r="I52" s="23">
        <f t="shared" si="32"/>
        <v>0.23430321592649311</v>
      </c>
      <c r="J52" s="23">
        <f t="shared" si="32"/>
        <v>0.21383647798742139</v>
      </c>
      <c r="K52" s="23">
        <f t="shared" si="32"/>
        <v>0.16943521594684385</v>
      </c>
      <c r="L52" s="23">
        <f t="shared" si="32"/>
        <v>0.14821124361158433</v>
      </c>
      <c r="M52" s="23">
        <f t="shared" si="32"/>
        <v>0.13127413127413126</v>
      </c>
      <c r="N52" s="23">
        <f t="shared" si="32"/>
        <v>0.1224829115093294</v>
      </c>
      <c r="O52" s="23">
        <f t="shared" si="32"/>
        <v>0.11707575490022956</v>
      </c>
      <c r="Q52" s="23">
        <f>IFERROR(SUM(Q38:Q40,Q44:Q46)/Q$49,"nm")</f>
        <v>1</v>
      </c>
      <c r="R52" s="23">
        <f>IFERROR(SUM(R38:R40,R44:R46)/R$49,"nm")</f>
        <v>0.2537313432835821</v>
      </c>
      <c r="S52" s="23">
        <f>IFERROR(SUM(S38:S40,S44:S46)/S$49,"nm")</f>
        <v>0.16736053288925895</v>
      </c>
      <c r="T52" s="23">
        <f>IFERROR(SUM(T38:T40,T44:T46)/T$49,"nm")</f>
        <v>0.1222312119315493</v>
      </c>
      <c r="V52" s="23">
        <f>IFERROR(SUM(V38:V40,V44:V46)/V$49,"nm")</f>
        <v>0.13932878750860672</v>
      </c>
    </row>
    <row r="53" spans="3:22" ht="6" customHeight="1" x14ac:dyDescent="0.2"/>
    <row r="54" spans="3:22" x14ac:dyDescent="0.2">
      <c r="C54" s="17" t="s">
        <v>117</v>
      </c>
    </row>
    <row r="55" spans="3:22" x14ac:dyDescent="0.2">
      <c r="C55" s="19" t="s">
        <v>10</v>
      </c>
      <c r="D55" s="41">
        <v>0</v>
      </c>
      <c r="E55" s="56">
        <f t="shared" ref="E55:O55" si="33">D37+D43</f>
        <v>0</v>
      </c>
      <c r="F55" s="56">
        <f t="shared" si="33"/>
        <v>0</v>
      </c>
      <c r="G55" s="56">
        <f t="shared" si="33"/>
        <v>0</v>
      </c>
      <c r="H55" s="56">
        <f t="shared" si="33"/>
        <v>7500</v>
      </c>
      <c r="I55" s="56">
        <f t="shared" si="33"/>
        <v>15000</v>
      </c>
      <c r="J55" s="56">
        <f t="shared" si="33"/>
        <v>22500</v>
      </c>
      <c r="K55" s="56">
        <f t="shared" si="33"/>
        <v>45000</v>
      </c>
      <c r="L55" s="56">
        <f t="shared" si="33"/>
        <v>82500</v>
      </c>
      <c r="M55" s="56">
        <f t="shared" si="33"/>
        <v>127500</v>
      </c>
      <c r="N55" s="56">
        <f t="shared" si="33"/>
        <v>202500</v>
      </c>
      <c r="O55" s="56">
        <f t="shared" si="33"/>
        <v>285000</v>
      </c>
      <c r="Q55" s="7">
        <f t="shared" ref="Q55:Q58" si="34">SUM(D55:F55)</f>
        <v>0</v>
      </c>
      <c r="R55" s="7">
        <f t="shared" ref="R55:R58" si="35">SUM(G55:I55)</f>
        <v>22500</v>
      </c>
      <c r="S55" s="7">
        <f t="shared" ref="S55:S58" si="36">SUM(J55:L55)</f>
        <v>150000</v>
      </c>
      <c r="T55" s="7">
        <f t="shared" ref="T55:T58" si="37">SUM(M55:O55)</f>
        <v>615000</v>
      </c>
      <c r="V55" s="7">
        <f t="shared" ref="V55:V58" si="38">SUM(Q55:T55)</f>
        <v>787500</v>
      </c>
    </row>
    <row r="56" spans="3:22" x14ac:dyDescent="0.2">
      <c r="C56" s="19" t="s">
        <v>11</v>
      </c>
      <c r="D56" s="41">
        <v>0</v>
      </c>
      <c r="E56" s="56">
        <f t="shared" ref="E56:O56" si="39">D38+D44</f>
        <v>0</v>
      </c>
      <c r="F56" s="56">
        <f t="shared" si="39"/>
        <v>0</v>
      </c>
      <c r="G56" s="56">
        <f t="shared" si="39"/>
        <v>0</v>
      </c>
      <c r="H56" s="56">
        <f t="shared" si="39"/>
        <v>0</v>
      </c>
      <c r="I56" s="56">
        <f t="shared" si="39"/>
        <v>0</v>
      </c>
      <c r="J56" s="56">
        <f t="shared" si="39"/>
        <v>0</v>
      </c>
      <c r="K56" s="56">
        <f t="shared" si="39"/>
        <v>0</v>
      </c>
      <c r="L56" s="56">
        <f t="shared" si="39"/>
        <v>0</v>
      </c>
      <c r="M56" s="56">
        <f t="shared" si="39"/>
        <v>0</v>
      </c>
      <c r="N56" s="56">
        <f t="shared" si="39"/>
        <v>0</v>
      </c>
      <c r="O56" s="56">
        <f t="shared" si="39"/>
        <v>0</v>
      </c>
      <c r="Q56" s="7">
        <f t="shared" si="34"/>
        <v>0</v>
      </c>
      <c r="R56" s="7">
        <f t="shared" si="35"/>
        <v>0</v>
      </c>
      <c r="S56" s="7">
        <f t="shared" si="36"/>
        <v>0</v>
      </c>
      <c r="T56" s="7">
        <f t="shared" si="37"/>
        <v>0</v>
      </c>
      <c r="V56" s="7">
        <f t="shared" si="38"/>
        <v>0</v>
      </c>
    </row>
    <row r="57" spans="3:22" x14ac:dyDescent="0.2">
      <c r="C57" s="19" t="s">
        <v>12</v>
      </c>
      <c r="D57" s="41">
        <v>0</v>
      </c>
      <c r="E57" s="56">
        <f t="shared" ref="E57:O57" si="40">D39+D45</f>
        <v>0</v>
      </c>
      <c r="F57" s="56">
        <f t="shared" si="40"/>
        <v>765</v>
      </c>
      <c r="G57" s="56">
        <f t="shared" si="40"/>
        <v>765</v>
      </c>
      <c r="H57" s="56">
        <f t="shared" si="40"/>
        <v>2295</v>
      </c>
      <c r="I57" s="56">
        <f t="shared" si="40"/>
        <v>3825</v>
      </c>
      <c r="J57" s="56">
        <f t="shared" si="40"/>
        <v>4590</v>
      </c>
      <c r="K57" s="56">
        <f t="shared" si="40"/>
        <v>7650</v>
      </c>
      <c r="L57" s="56">
        <f t="shared" si="40"/>
        <v>8415</v>
      </c>
      <c r="M57" s="56">
        <f t="shared" si="40"/>
        <v>9180</v>
      </c>
      <c r="N57" s="56">
        <f t="shared" si="40"/>
        <v>9945</v>
      </c>
      <c r="O57" s="56">
        <f t="shared" si="40"/>
        <v>10710</v>
      </c>
      <c r="Q57" s="7">
        <f t="shared" si="34"/>
        <v>765</v>
      </c>
      <c r="R57" s="7">
        <f t="shared" si="35"/>
        <v>6885</v>
      </c>
      <c r="S57" s="7">
        <f t="shared" si="36"/>
        <v>20655</v>
      </c>
      <c r="T57" s="7">
        <f t="shared" si="37"/>
        <v>29835</v>
      </c>
      <c r="V57" s="7">
        <f t="shared" si="38"/>
        <v>58140</v>
      </c>
    </row>
    <row r="58" spans="3:22" x14ac:dyDescent="0.2">
      <c r="C58" s="19" t="s">
        <v>13</v>
      </c>
      <c r="D58" s="41">
        <v>0</v>
      </c>
      <c r="E58" s="56">
        <f t="shared" ref="E58:O58" si="41">D40+D46</f>
        <v>0</v>
      </c>
      <c r="F58" s="56">
        <f t="shared" si="41"/>
        <v>0</v>
      </c>
      <c r="G58" s="56">
        <f t="shared" si="41"/>
        <v>0</v>
      </c>
      <c r="H58" s="56">
        <f t="shared" si="41"/>
        <v>765</v>
      </c>
      <c r="I58" s="56">
        <f t="shared" si="41"/>
        <v>1530</v>
      </c>
      <c r="J58" s="56">
        <f t="shared" si="41"/>
        <v>2295</v>
      </c>
      <c r="K58" s="56">
        <f t="shared" si="41"/>
        <v>4590</v>
      </c>
      <c r="L58" s="56">
        <f t="shared" si="41"/>
        <v>8415</v>
      </c>
      <c r="M58" s="56">
        <f t="shared" si="41"/>
        <v>13005</v>
      </c>
      <c r="N58" s="56">
        <f t="shared" si="41"/>
        <v>20655</v>
      </c>
      <c r="O58" s="56">
        <f t="shared" si="41"/>
        <v>29070</v>
      </c>
      <c r="Q58" s="7">
        <f t="shared" si="34"/>
        <v>0</v>
      </c>
      <c r="R58" s="7">
        <f t="shared" si="35"/>
        <v>2295</v>
      </c>
      <c r="S58" s="7">
        <f t="shared" si="36"/>
        <v>15300</v>
      </c>
      <c r="T58" s="7">
        <f t="shared" si="37"/>
        <v>62730</v>
      </c>
      <c r="V58" s="7">
        <f t="shared" si="38"/>
        <v>80325</v>
      </c>
    </row>
    <row r="59" spans="3:22" x14ac:dyDescent="0.2">
      <c r="C59" s="17" t="s">
        <v>118</v>
      </c>
      <c r="D59" s="18">
        <f t="shared" ref="D59:O59" si="42">SUM(D55:D58)</f>
        <v>0</v>
      </c>
      <c r="E59" s="18">
        <f t="shared" si="42"/>
        <v>0</v>
      </c>
      <c r="F59" s="18">
        <f t="shared" si="42"/>
        <v>765</v>
      </c>
      <c r="G59" s="18">
        <f t="shared" si="42"/>
        <v>765</v>
      </c>
      <c r="H59" s="18">
        <f t="shared" si="42"/>
        <v>10560</v>
      </c>
      <c r="I59" s="18">
        <f t="shared" si="42"/>
        <v>20355</v>
      </c>
      <c r="J59" s="18">
        <f t="shared" si="42"/>
        <v>29385</v>
      </c>
      <c r="K59" s="18">
        <f t="shared" si="42"/>
        <v>57240</v>
      </c>
      <c r="L59" s="18">
        <f t="shared" si="42"/>
        <v>99330</v>
      </c>
      <c r="M59" s="18">
        <f t="shared" si="42"/>
        <v>149685</v>
      </c>
      <c r="N59" s="18">
        <f t="shared" si="42"/>
        <v>233100</v>
      </c>
      <c r="O59" s="18">
        <f t="shared" si="42"/>
        <v>324780</v>
      </c>
      <c r="Q59" s="18">
        <f>SUM(Q55:Q58)</f>
        <v>765</v>
      </c>
      <c r="R59" s="18">
        <f>SUM(R55:R58)</f>
        <v>31680</v>
      </c>
      <c r="S59" s="18">
        <f>SUM(S55:S58)</f>
        <v>185955</v>
      </c>
      <c r="T59" s="18">
        <f>SUM(T55:T58)</f>
        <v>707565</v>
      </c>
      <c r="V59" s="18">
        <f>SUM(V55:V58)</f>
        <v>925965</v>
      </c>
    </row>
    <row r="60" spans="3:22" ht="6" customHeight="1" x14ac:dyDescent="0.2"/>
    <row r="61" spans="3:22" x14ac:dyDescent="0.2">
      <c r="C61" s="17" t="s">
        <v>32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3:22" x14ac:dyDescent="0.2">
      <c r="C62" s="19" t="s">
        <v>119</v>
      </c>
      <c r="D62" s="46">
        <v>0.2</v>
      </c>
      <c r="E62" s="46">
        <v>0.2</v>
      </c>
      <c r="F62" s="46">
        <v>0.2</v>
      </c>
      <c r="G62" s="46">
        <v>0.2</v>
      </c>
      <c r="H62" s="46">
        <v>0.2</v>
      </c>
      <c r="I62" s="46">
        <v>0.2</v>
      </c>
      <c r="J62" s="46">
        <v>0.2</v>
      </c>
      <c r="K62" s="46">
        <v>0.2</v>
      </c>
      <c r="L62" s="46">
        <v>0.2</v>
      </c>
      <c r="M62" s="46">
        <v>0.2</v>
      </c>
      <c r="N62" s="46">
        <v>0.2</v>
      </c>
      <c r="O62" s="46">
        <v>0.2</v>
      </c>
    </row>
    <row r="63" spans="3:22" x14ac:dyDescent="0.2">
      <c r="C63" s="19" t="s">
        <v>120</v>
      </c>
      <c r="D63" s="7">
        <f t="shared" ref="D63:O63" si="43">D62*D49</f>
        <v>0</v>
      </c>
      <c r="E63" s="7">
        <f t="shared" si="43"/>
        <v>153</v>
      </c>
      <c r="F63" s="7">
        <f t="shared" si="43"/>
        <v>153</v>
      </c>
      <c r="G63" s="7">
        <f t="shared" si="43"/>
        <v>2112</v>
      </c>
      <c r="H63" s="7">
        <f t="shared" si="43"/>
        <v>4071</v>
      </c>
      <c r="I63" s="7">
        <f t="shared" si="43"/>
        <v>5877</v>
      </c>
      <c r="J63" s="7">
        <f t="shared" si="43"/>
        <v>11448</v>
      </c>
      <c r="K63" s="7">
        <f t="shared" si="43"/>
        <v>19866</v>
      </c>
      <c r="L63" s="7">
        <f t="shared" si="43"/>
        <v>29937</v>
      </c>
      <c r="M63" s="7">
        <f t="shared" si="43"/>
        <v>46620</v>
      </c>
      <c r="N63" s="7">
        <f t="shared" si="43"/>
        <v>64956</v>
      </c>
      <c r="O63" s="7">
        <f t="shared" si="43"/>
        <v>84945</v>
      </c>
      <c r="Q63" s="7">
        <f t="shared" ref="Q63:Q64" si="44">SUM(D63:F63)</f>
        <v>306</v>
      </c>
      <c r="R63" s="7">
        <f t="shared" ref="R63:R64" si="45">SUM(G63:I63)</f>
        <v>12060</v>
      </c>
      <c r="S63" s="7">
        <f t="shared" ref="S63:S64" si="46">SUM(J63:L63)</f>
        <v>61251</v>
      </c>
      <c r="T63" s="7">
        <f t="shared" ref="T63:T64" si="47">SUM(M63:O63)</f>
        <v>196521</v>
      </c>
      <c r="V63" s="7">
        <f t="shared" ref="V63:V64" si="48">SUM(Q63:T63)</f>
        <v>270138</v>
      </c>
    </row>
    <row r="64" spans="3:22" x14ac:dyDescent="0.2">
      <c r="C64" s="19" t="s">
        <v>121</v>
      </c>
      <c r="D64" s="7">
        <f>D59*D62</f>
        <v>0</v>
      </c>
      <c r="E64" s="7">
        <f t="shared" ref="E64:O64" si="49">E59*E62</f>
        <v>0</v>
      </c>
      <c r="F64" s="7">
        <f t="shared" si="49"/>
        <v>153</v>
      </c>
      <c r="G64" s="7">
        <f t="shared" si="49"/>
        <v>153</v>
      </c>
      <c r="H64" s="7">
        <f t="shared" si="49"/>
        <v>2112</v>
      </c>
      <c r="I64" s="7">
        <f t="shared" si="49"/>
        <v>4071</v>
      </c>
      <c r="J64" s="7">
        <f t="shared" si="49"/>
        <v>5877</v>
      </c>
      <c r="K64" s="7">
        <f t="shared" si="49"/>
        <v>11448</v>
      </c>
      <c r="L64" s="7">
        <f t="shared" si="49"/>
        <v>19866</v>
      </c>
      <c r="M64" s="7">
        <f t="shared" si="49"/>
        <v>29937</v>
      </c>
      <c r="N64" s="7">
        <f t="shared" si="49"/>
        <v>46620</v>
      </c>
      <c r="O64" s="7">
        <f t="shared" si="49"/>
        <v>64956</v>
      </c>
      <c r="Q64" s="7">
        <f t="shared" si="44"/>
        <v>153</v>
      </c>
      <c r="R64" s="7">
        <f t="shared" si="45"/>
        <v>6336</v>
      </c>
      <c r="S64" s="7">
        <f t="shared" si="46"/>
        <v>37191</v>
      </c>
      <c r="T64" s="7">
        <f t="shared" si="47"/>
        <v>141513</v>
      </c>
      <c r="V64" s="7">
        <f t="shared" si="48"/>
        <v>185193</v>
      </c>
    </row>
    <row r="66" spans="22:22" x14ac:dyDescent="0.2">
      <c r="V66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DB59-02C9-4230-B6F0-A015E061804B}">
  <sheetPr>
    <tabColor theme="1"/>
  </sheetPr>
  <dimension ref="A1"/>
  <sheetViews>
    <sheetView showGridLines="0" workbookViewId="0"/>
  </sheetViews>
  <sheetFormatPr baseColWidth="10" defaultColWidth="8.83203125" defaultRowHeight="14" x14ac:dyDescent="0.2"/>
  <cols>
    <col min="1" max="16384" width="8.8320312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614F-7E24-4E49-B321-F4DD67DCBDBC}">
  <sheetPr>
    <tabColor theme="1" tint="0.499984740745262"/>
  </sheetPr>
  <dimension ref="C1:X52"/>
  <sheetViews>
    <sheetView showGridLines="0" zoomScaleNormal="100" workbookViewId="0">
      <pane ySplit="5" topLeftCell="A6" activePane="bottomLeft" state="frozen"/>
      <selection pane="bottomLeft" activeCell="E7" sqref="E7"/>
    </sheetView>
  </sheetViews>
  <sheetFormatPr baseColWidth="10" defaultColWidth="8.83203125" defaultRowHeight="14" x14ac:dyDescent="0.2"/>
  <cols>
    <col min="1" max="2" width="3.6640625" style="1" customWidth="1"/>
    <col min="3" max="3" width="36" style="1" bestFit="1" customWidth="1"/>
    <col min="4" max="5" width="13.5" style="2" customWidth="1"/>
    <col min="6" max="17" width="10.6640625" style="1" customWidth="1"/>
    <col min="18" max="18" width="3.6640625" style="1" customWidth="1"/>
    <col min="19" max="22" width="10.6640625" style="1" customWidth="1"/>
    <col min="23" max="23" width="3.6640625" style="1" customWidth="1"/>
    <col min="24" max="24" width="10.6640625" style="1" customWidth="1"/>
    <col min="25" max="26" width="3.6640625" style="1" customWidth="1"/>
    <col min="27" max="16384" width="8.83203125" style="1"/>
  </cols>
  <sheetData>
    <row r="1" spans="3:24" x14ac:dyDescent="0.2">
      <c r="D1" s="67"/>
    </row>
    <row r="2" spans="3:24" x14ac:dyDescent="0.2">
      <c r="C2" s="27" t="s">
        <v>0</v>
      </c>
      <c r="D2" s="29"/>
      <c r="E2" s="29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3:24" x14ac:dyDescent="0.2">
      <c r="C3" s="14" t="s">
        <v>122</v>
      </c>
      <c r="D3" s="30"/>
      <c r="E3" s="30"/>
    </row>
    <row r="4" spans="3:24" ht="6" customHeight="1" x14ac:dyDescent="0.2"/>
    <row r="5" spans="3:24" ht="14" customHeight="1" thickBot="1" x14ac:dyDescent="0.25">
      <c r="C5" s="6" t="s">
        <v>123</v>
      </c>
      <c r="D5" s="5" t="s">
        <v>124</v>
      </c>
      <c r="E5" s="5" t="s">
        <v>125</v>
      </c>
      <c r="F5" s="11">
        <v>45658</v>
      </c>
      <c r="G5" s="11">
        <f>EOMONTH(F5,0)+1</f>
        <v>45689</v>
      </c>
      <c r="H5" s="11">
        <f t="shared" ref="H5:Q5" si="0">EOMONTH(G5,0)+1</f>
        <v>45717</v>
      </c>
      <c r="I5" s="11">
        <f t="shared" si="0"/>
        <v>45748</v>
      </c>
      <c r="J5" s="11">
        <f t="shared" si="0"/>
        <v>45778</v>
      </c>
      <c r="K5" s="11">
        <f t="shared" si="0"/>
        <v>45809</v>
      </c>
      <c r="L5" s="11">
        <f t="shared" si="0"/>
        <v>45839</v>
      </c>
      <c r="M5" s="11">
        <f t="shared" si="0"/>
        <v>45870</v>
      </c>
      <c r="N5" s="11">
        <f t="shared" si="0"/>
        <v>45901</v>
      </c>
      <c r="O5" s="11">
        <f t="shared" si="0"/>
        <v>45931</v>
      </c>
      <c r="P5" s="11">
        <f t="shared" si="0"/>
        <v>45962</v>
      </c>
      <c r="Q5" s="11">
        <f t="shared" si="0"/>
        <v>45992</v>
      </c>
      <c r="S5" s="20" t="s">
        <v>126</v>
      </c>
      <c r="T5" s="20" t="s">
        <v>127</v>
      </c>
      <c r="U5" s="20" t="s">
        <v>128</v>
      </c>
      <c r="V5" s="20" t="s">
        <v>129</v>
      </c>
      <c r="X5" s="20" t="s">
        <v>130</v>
      </c>
    </row>
    <row r="6" spans="3:24" ht="6" customHeight="1" x14ac:dyDescent="0.2"/>
    <row r="7" spans="3:24" x14ac:dyDescent="0.2">
      <c r="C7" s="28" t="s">
        <v>131</v>
      </c>
      <c r="D7" s="3">
        <v>96.15384615384616</v>
      </c>
      <c r="E7" s="91">
        <v>0.05</v>
      </c>
      <c r="F7" s="7">
        <f>$D7</f>
        <v>96.15384615384616</v>
      </c>
      <c r="G7" s="7">
        <f t="shared" ref="G7:Q7" si="1">$D7</f>
        <v>96.15384615384616</v>
      </c>
      <c r="H7" s="7">
        <f t="shared" si="1"/>
        <v>96.15384615384616</v>
      </c>
      <c r="I7" s="7">
        <f t="shared" si="1"/>
        <v>96.15384615384616</v>
      </c>
      <c r="J7" s="7">
        <f t="shared" si="1"/>
        <v>96.15384615384616</v>
      </c>
      <c r="K7" s="7">
        <f t="shared" si="1"/>
        <v>96.15384615384616</v>
      </c>
      <c r="L7" s="7">
        <f t="shared" si="1"/>
        <v>96.15384615384616</v>
      </c>
      <c r="M7" s="7">
        <f t="shared" si="1"/>
        <v>96.15384615384616</v>
      </c>
      <c r="N7" s="7">
        <f t="shared" si="1"/>
        <v>96.15384615384616</v>
      </c>
      <c r="O7" s="7">
        <f t="shared" si="1"/>
        <v>96.15384615384616</v>
      </c>
      <c r="P7" s="7">
        <f t="shared" si="1"/>
        <v>96.15384615384616</v>
      </c>
      <c r="Q7" s="7">
        <f t="shared" si="1"/>
        <v>96.15384615384616</v>
      </c>
      <c r="S7" s="7">
        <f t="shared" ref="S7:S15" si="2">AVERAGE(F7:H7)</f>
        <v>96.153846153846146</v>
      </c>
      <c r="T7" s="7">
        <f t="shared" ref="T7:T15" si="3">AVERAGE(I7:K7)</f>
        <v>96.153846153846146</v>
      </c>
      <c r="U7" s="7">
        <f t="shared" ref="U7:U15" si="4">AVERAGE(L7:N7)</f>
        <v>96.153846153846146</v>
      </c>
      <c r="V7" s="7">
        <f t="shared" ref="V7:V15" si="5">AVERAGE(O7:Q7)</f>
        <v>96.153846153846146</v>
      </c>
      <c r="X7" s="7">
        <f t="shared" ref="X7:X15" si="6">AVERAGE(S7:V7)</f>
        <v>96.153846153846146</v>
      </c>
    </row>
    <row r="8" spans="3:24" x14ac:dyDescent="0.2">
      <c r="C8" s="28" t="s">
        <v>132</v>
      </c>
      <c r="D8" s="3">
        <v>96.15384615384616</v>
      </c>
      <c r="E8" s="91">
        <v>0.05</v>
      </c>
      <c r="F8" s="7">
        <f t="shared" ref="F8:Q15" si="7">$D8</f>
        <v>96.15384615384616</v>
      </c>
      <c r="G8" s="7">
        <f t="shared" si="7"/>
        <v>96.15384615384616</v>
      </c>
      <c r="H8" s="7">
        <f t="shared" si="7"/>
        <v>96.15384615384616</v>
      </c>
      <c r="I8" s="7">
        <f t="shared" si="7"/>
        <v>96.15384615384616</v>
      </c>
      <c r="J8" s="7">
        <f t="shared" si="7"/>
        <v>96.15384615384616</v>
      </c>
      <c r="K8" s="7">
        <f t="shared" si="7"/>
        <v>96.15384615384616</v>
      </c>
      <c r="L8" s="7">
        <f t="shared" si="7"/>
        <v>96.15384615384616</v>
      </c>
      <c r="M8" s="7">
        <f t="shared" si="7"/>
        <v>96.15384615384616</v>
      </c>
      <c r="N8" s="7">
        <f t="shared" si="7"/>
        <v>96.15384615384616</v>
      </c>
      <c r="O8" s="7">
        <f t="shared" si="7"/>
        <v>96.15384615384616</v>
      </c>
      <c r="P8" s="7">
        <f t="shared" si="7"/>
        <v>96.15384615384616</v>
      </c>
      <c r="Q8" s="7">
        <f t="shared" si="7"/>
        <v>96.15384615384616</v>
      </c>
      <c r="S8" s="7">
        <f t="shared" si="2"/>
        <v>96.153846153846146</v>
      </c>
      <c r="T8" s="7">
        <f t="shared" si="3"/>
        <v>96.153846153846146</v>
      </c>
      <c r="U8" s="7">
        <f t="shared" si="4"/>
        <v>96.153846153846146</v>
      </c>
      <c r="V8" s="7">
        <f t="shared" si="5"/>
        <v>96.153846153846146</v>
      </c>
      <c r="X8" s="7">
        <f t="shared" si="6"/>
        <v>96.153846153846146</v>
      </c>
    </row>
    <row r="9" spans="3:24" x14ac:dyDescent="0.2">
      <c r="C9" s="28" t="s">
        <v>133</v>
      </c>
      <c r="D9" s="3">
        <v>86.538461538461533</v>
      </c>
      <c r="E9" s="91">
        <v>0.05</v>
      </c>
      <c r="F9" s="7">
        <f t="shared" si="7"/>
        <v>86.538461538461533</v>
      </c>
      <c r="G9" s="7">
        <f t="shared" si="7"/>
        <v>86.538461538461533</v>
      </c>
      <c r="H9" s="7">
        <f t="shared" si="7"/>
        <v>86.538461538461533</v>
      </c>
      <c r="I9" s="7">
        <f t="shared" si="7"/>
        <v>86.538461538461533</v>
      </c>
      <c r="J9" s="7">
        <f t="shared" si="7"/>
        <v>86.538461538461533</v>
      </c>
      <c r="K9" s="7">
        <f t="shared" si="7"/>
        <v>86.538461538461533</v>
      </c>
      <c r="L9" s="7">
        <f t="shared" si="7"/>
        <v>86.538461538461533</v>
      </c>
      <c r="M9" s="7">
        <f t="shared" si="7"/>
        <v>86.538461538461533</v>
      </c>
      <c r="N9" s="7">
        <f t="shared" si="7"/>
        <v>86.538461538461533</v>
      </c>
      <c r="O9" s="7">
        <f t="shared" si="7"/>
        <v>86.538461538461533</v>
      </c>
      <c r="P9" s="7">
        <f t="shared" si="7"/>
        <v>86.538461538461533</v>
      </c>
      <c r="Q9" s="7">
        <f t="shared" si="7"/>
        <v>86.538461538461533</v>
      </c>
      <c r="S9" s="7">
        <f t="shared" si="2"/>
        <v>86.538461538461533</v>
      </c>
      <c r="T9" s="7">
        <f t="shared" si="3"/>
        <v>86.538461538461533</v>
      </c>
      <c r="U9" s="7">
        <f t="shared" si="4"/>
        <v>86.538461538461533</v>
      </c>
      <c r="V9" s="7">
        <f t="shared" si="5"/>
        <v>86.538461538461533</v>
      </c>
      <c r="X9" s="7">
        <f t="shared" si="6"/>
        <v>86.538461538461533</v>
      </c>
    </row>
    <row r="10" spans="3:24" x14ac:dyDescent="0.2">
      <c r="C10" s="28" t="s">
        <v>134</v>
      </c>
      <c r="D10" s="3">
        <v>79.32692307692308</v>
      </c>
      <c r="E10" s="91">
        <v>0.1</v>
      </c>
      <c r="F10" s="7">
        <f t="shared" si="7"/>
        <v>79.32692307692308</v>
      </c>
      <c r="G10" s="7">
        <f t="shared" si="7"/>
        <v>79.32692307692308</v>
      </c>
      <c r="H10" s="7">
        <f t="shared" si="7"/>
        <v>79.32692307692308</v>
      </c>
      <c r="I10" s="7">
        <f t="shared" si="7"/>
        <v>79.32692307692308</v>
      </c>
      <c r="J10" s="7">
        <f t="shared" si="7"/>
        <v>79.32692307692308</v>
      </c>
      <c r="K10" s="7">
        <f t="shared" si="7"/>
        <v>79.32692307692308</v>
      </c>
      <c r="L10" s="7">
        <f t="shared" si="7"/>
        <v>79.32692307692308</v>
      </c>
      <c r="M10" s="7">
        <f t="shared" si="7"/>
        <v>79.32692307692308</v>
      </c>
      <c r="N10" s="7">
        <f t="shared" si="7"/>
        <v>79.32692307692308</v>
      </c>
      <c r="O10" s="7">
        <f t="shared" si="7"/>
        <v>79.32692307692308</v>
      </c>
      <c r="P10" s="7">
        <f t="shared" si="7"/>
        <v>79.32692307692308</v>
      </c>
      <c r="Q10" s="7">
        <f t="shared" si="7"/>
        <v>79.32692307692308</v>
      </c>
      <c r="S10" s="7">
        <f t="shared" si="2"/>
        <v>79.32692307692308</v>
      </c>
      <c r="T10" s="7">
        <f t="shared" si="3"/>
        <v>79.32692307692308</v>
      </c>
      <c r="U10" s="7">
        <f t="shared" si="4"/>
        <v>79.32692307692308</v>
      </c>
      <c r="V10" s="7">
        <f t="shared" si="5"/>
        <v>79.32692307692308</v>
      </c>
      <c r="X10" s="7">
        <f t="shared" si="6"/>
        <v>79.32692307692308</v>
      </c>
    </row>
    <row r="11" spans="3:24" x14ac:dyDescent="0.2">
      <c r="C11" s="28" t="s">
        <v>135</v>
      </c>
      <c r="D11" s="3">
        <v>43.269230769230766</v>
      </c>
      <c r="E11" s="91">
        <v>0.05</v>
      </c>
      <c r="F11" s="7">
        <f t="shared" si="7"/>
        <v>43.269230769230766</v>
      </c>
      <c r="G11" s="7">
        <f t="shared" si="7"/>
        <v>43.269230769230766</v>
      </c>
      <c r="H11" s="7">
        <f t="shared" si="7"/>
        <v>43.269230769230766</v>
      </c>
      <c r="I11" s="7">
        <f t="shared" si="7"/>
        <v>43.269230769230766</v>
      </c>
      <c r="J11" s="7">
        <f t="shared" si="7"/>
        <v>43.269230769230766</v>
      </c>
      <c r="K11" s="7">
        <f t="shared" si="7"/>
        <v>43.269230769230766</v>
      </c>
      <c r="L11" s="7">
        <f t="shared" si="7"/>
        <v>43.269230769230766</v>
      </c>
      <c r="M11" s="7">
        <f t="shared" si="7"/>
        <v>43.269230769230766</v>
      </c>
      <c r="N11" s="7">
        <f t="shared" si="7"/>
        <v>43.269230769230766</v>
      </c>
      <c r="O11" s="7">
        <f t="shared" si="7"/>
        <v>43.269230769230766</v>
      </c>
      <c r="P11" s="7">
        <f t="shared" si="7"/>
        <v>43.269230769230766</v>
      </c>
      <c r="Q11" s="7">
        <f t="shared" si="7"/>
        <v>43.269230769230766</v>
      </c>
      <c r="S11" s="7">
        <f t="shared" si="2"/>
        <v>43.269230769230766</v>
      </c>
      <c r="T11" s="7">
        <f t="shared" si="3"/>
        <v>43.269230769230766</v>
      </c>
      <c r="U11" s="7">
        <f t="shared" si="4"/>
        <v>43.269230769230766</v>
      </c>
      <c r="V11" s="7">
        <f t="shared" si="5"/>
        <v>43.269230769230766</v>
      </c>
      <c r="X11" s="7">
        <f t="shared" si="6"/>
        <v>43.269230769230766</v>
      </c>
    </row>
    <row r="12" spans="3:24" x14ac:dyDescent="0.2">
      <c r="C12" s="28" t="s">
        <v>136</v>
      </c>
      <c r="D12" s="3">
        <v>43.269230769230766</v>
      </c>
      <c r="E12" s="91">
        <v>0.05</v>
      </c>
      <c r="F12" s="7">
        <f t="shared" si="7"/>
        <v>43.269230769230766</v>
      </c>
      <c r="G12" s="7">
        <f t="shared" si="7"/>
        <v>43.269230769230766</v>
      </c>
      <c r="H12" s="7">
        <f t="shared" si="7"/>
        <v>43.269230769230766</v>
      </c>
      <c r="I12" s="7">
        <f t="shared" si="7"/>
        <v>43.269230769230766</v>
      </c>
      <c r="J12" s="7">
        <f t="shared" si="7"/>
        <v>43.269230769230766</v>
      </c>
      <c r="K12" s="7">
        <f t="shared" si="7"/>
        <v>43.269230769230766</v>
      </c>
      <c r="L12" s="7">
        <f t="shared" si="7"/>
        <v>43.269230769230766</v>
      </c>
      <c r="M12" s="7">
        <f t="shared" si="7"/>
        <v>43.269230769230766</v>
      </c>
      <c r="N12" s="7">
        <f t="shared" si="7"/>
        <v>43.269230769230766</v>
      </c>
      <c r="O12" s="7">
        <f t="shared" si="7"/>
        <v>43.269230769230766</v>
      </c>
      <c r="P12" s="7">
        <f t="shared" si="7"/>
        <v>43.269230769230766</v>
      </c>
      <c r="Q12" s="7">
        <f t="shared" si="7"/>
        <v>43.269230769230766</v>
      </c>
      <c r="S12" s="7">
        <f t="shared" si="2"/>
        <v>43.269230769230766</v>
      </c>
      <c r="T12" s="7">
        <f t="shared" si="3"/>
        <v>43.269230769230766</v>
      </c>
      <c r="U12" s="7">
        <f t="shared" si="4"/>
        <v>43.269230769230766</v>
      </c>
      <c r="V12" s="7">
        <f t="shared" si="5"/>
        <v>43.269230769230766</v>
      </c>
      <c r="X12" s="7">
        <f t="shared" si="6"/>
        <v>43.269230769230766</v>
      </c>
    </row>
    <row r="13" spans="3:24" x14ac:dyDescent="0.2">
      <c r="C13" s="28" t="s">
        <v>137</v>
      </c>
      <c r="D13" s="3">
        <v>31.25</v>
      </c>
      <c r="E13" s="91">
        <v>0.05</v>
      </c>
      <c r="F13" s="7">
        <f t="shared" si="7"/>
        <v>31.25</v>
      </c>
      <c r="G13" s="7">
        <f t="shared" si="7"/>
        <v>31.25</v>
      </c>
      <c r="H13" s="7">
        <f t="shared" si="7"/>
        <v>31.25</v>
      </c>
      <c r="I13" s="7">
        <f t="shared" si="7"/>
        <v>31.25</v>
      </c>
      <c r="J13" s="7">
        <f t="shared" si="7"/>
        <v>31.25</v>
      </c>
      <c r="K13" s="7">
        <f t="shared" si="7"/>
        <v>31.25</v>
      </c>
      <c r="L13" s="7">
        <f t="shared" si="7"/>
        <v>31.25</v>
      </c>
      <c r="M13" s="7">
        <f t="shared" si="7"/>
        <v>31.25</v>
      </c>
      <c r="N13" s="7">
        <f t="shared" si="7"/>
        <v>31.25</v>
      </c>
      <c r="O13" s="7">
        <f t="shared" si="7"/>
        <v>31.25</v>
      </c>
      <c r="P13" s="7">
        <f t="shared" si="7"/>
        <v>31.25</v>
      </c>
      <c r="Q13" s="7">
        <f t="shared" si="7"/>
        <v>31.25</v>
      </c>
      <c r="S13" s="7">
        <f t="shared" si="2"/>
        <v>31.25</v>
      </c>
      <c r="T13" s="7">
        <f t="shared" si="3"/>
        <v>31.25</v>
      </c>
      <c r="U13" s="7">
        <f t="shared" si="4"/>
        <v>31.25</v>
      </c>
      <c r="V13" s="7">
        <f t="shared" si="5"/>
        <v>31.25</v>
      </c>
      <c r="X13" s="7">
        <f t="shared" si="6"/>
        <v>31.25</v>
      </c>
    </row>
    <row r="14" spans="3:24" x14ac:dyDescent="0.2">
      <c r="C14" s="28" t="s">
        <v>138</v>
      </c>
      <c r="D14" s="3">
        <v>125</v>
      </c>
      <c r="E14" s="91">
        <v>0.3</v>
      </c>
      <c r="F14" s="7">
        <f t="shared" si="7"/>
        <v>125</v>
      </c>
      <c r="G14" s="7">
        <f t="shared" si="7"/>
        <v>125</v>
      </c>
      <c r="H14" s="7">
        <f t="shared" si="7"/>
        <v>125</v>
      </c>
      <c r="I14" s="7">
        <f t="shared" si="7"/>
        <v>125</v>
      </c>
      <c r="J14" s="7">
        <f t="shared" si="7"/>
        <v>125</v>
      </c>
      <c r="K14" s="7">
        <f t="shared" si="7"/>
        <v>125</v>
      </c>
      <c r="L14" s="7">
        <f t="shared" si="7"/>
        <v>125</v>
      </c>
      <c r="M14" s="7">
        <f t="shared" si="7"/>
        <v>125</v>
      </c>
      <c r="N14" s="7">
        <f t="shared" si="7"/>
        <v>125</v>
      </c>
      <c r="O14" s="7">
        <f t="shared" si="7"/>
        <v>125</v>
      </c>
      <c r="P14" s="7">
        <f t="shared" si="7"/>
        <v>125</v>
      </c>
      <c r="Q14" s="7">
        <f t="shared" si="7"/>
        <v>125</v>
      </c>
      <c r="S14" s="7">
        <f t="shared" si="2"/>
        <v>125</v>
      </c>
      <c r="T14" s="7">
        <f t="shared" si="3"/>
        <v>125</v>
      </c>
      <c r="U14" s="7">
        <f t="shared" si="4"/>
        <v>125</v>
      </c>
      <c r="V14" s="7">
        <f t="shared" si="5"/>
        <v>125</v>
      </c>
      <c r="X14" s="7">
        <f t="shared" si="6"/>
        <v>125</v>
      </c>
    </row>
    <row r="15" spans="3:24" x14ac:dyDescent="0.2">
      <c r="C15" s="28" t="s">
        <v>139</v>
      </c>
      <c r="D15" s="3">
        <v>250</v>
      </c>
      <c r="E15" s="91">
        <v>0.3</v>
      </c>
      <c r="F15" s="7">
        <f t="shared" si="7"/>
        <v>250</v>
      </c>
      <c r="G15" s="7">
        <f t="shared" si="7"/>
        <v>250</v>
      </c>
      <c r="H15" s="7">
        <f t="shared" si="7"/>
        <v>250</v>
      </c>
      <c r="I15" s="7">
        <f t="shared" si="7"/>
        <v>250</v>
      </c>
      <c r="J15" s="7">
        <f t="shared" si="7"/>
        <v>250</v>
      </c>
      <c r="K15" s="7">
        <f t="shared" si="7"/>
        <v>250</v>
      </c>
      <c r="L15" s="7">
        <f t="shared" si="7"/>
        <v>250</v>
      </c>
      <c r="M15" s="7">
        <f t="shared" si="7"/>
        <v>250</v>
      </c>
      <c r="N15" s="7">
        <f t="shared" si="7"/>
        <v>250</v>
      </c>
      <c r="O15" s="7">
        <f t="shared" si="7"/>
        <v>250</v>
      </c>
      <c r="P15" s="7">
        <f t="shared" si="7"/>
        <v>250</v>
      </c>
      <c r="Q15" s="7">
        <f t="shared" si="7"/>
        <v>250</v>
      </c>
      <c r="S15" s="7">
        <f t="shared" si="2"/>
        <v>250</v>
      </c>
      <c r="T15" s="7">
        <f t="shared" si="3"/>
        <v>250</v>
      </c>
      <c r="U15" s="7">
        <f t="shared" si="4"/>
        <v>250</v>
      </c>
      <c r="V15" s="7">
        <f t="shared" si="5"/>
        <v>250</v>
      </c>
      <c r="X15" s="7">
        <f t="shared" si="6"/>
        <v>250</v>
      </c>
    </row>
    <row r="16" spans="3:24" x14ac:dyDescent="0.2">
      <c r="C16" s="17" t="s">
        <v>140</v>
      </c>
      <c r="D16" s="31"/>
      <c r="E16" s="42"/>
      <c r="F16" s="18">
        <f>SUMPRODUCT(F$7:F$15,$E$7:$E$15)</f>
        <v>140.26442307692309</v>
      </c>
      <c r="G16" s="18">
        <f t="shared" ref="G16:Q16" si="8">SUMPRODUCT(G$7:G$15,$E$7:$E$15)</f>
        <v>140.26442307692309</v>
      </c>
      <c r="H16" s="18">
        <f t="shared" si="8"/>
        <v>140.26442307692309</v>
      </c>
      <c r="I16" s="18">
        <f t="shared" si="8"/>
        <v>140.26442307692309</v>
      </c>
      <c r="J16" s="18">
        <f t="shared" si="8"/>
        <v>140.26442307692309</v>
      </c>
      <c r="K16" s="18">
        <f t="shared" si="8"/>
        <v>140.26442307692309</v>
      </c>
      <c r="L16" s="18">
        <f t="shared" si="8"/>
        <v>140.26442307692309</v>
      </c>
      <c r="M16" s="18">
        <f t="shared" si="8"/>
        <v>140.26442307692309</v>
      </c>
      <c r="N16" s="18">
        <f t="shared" si="8"/>
        <v>140.26442307692309</v>
      </c>
      <c r="O16" s="18">
        <f t="shared" si="8"/>
        <v>140.26442307692309</v>
      </c>
      <c r="P16" s="18">
        <f t="shared" si="8"/>
        <v>140.26442307692309</v>
      </c>
      <c r="Q16" s="18">
        <f t="shared" si="8"/>
        <v>140.26442307692309</v>
      </c>
      <c r="S16" s="18">
        <f>SUMPRODUCT(S7:S15,$E$7:$E$15)</f>
        <v>140.26442307692309</v>
      </c>
      <c r="T16" s="18">
        <f t="shared" ref="T16:V16" si="9">SUMPRODUCT(T7:T15,$E$7:$E$15)</f>
        <v>140.26442307692309</v>
      </c>
      <c r="U16" s="18">
        <f t="shared" si="9"/>
        <v>140.26442307692309</v>
      </c>
      <c r="V16" s="18">
        <f t="shared" si="9"/>
        <v>140.26442307692309</v>
      </c>
      <c r="X16" s="18">
        <f>SUMPRODUCT(X7:X15,$E$7:$E$15)</f>
        <v>140.26442307692309</v>
      </c>
    </row>
    <row r="17" spans="3:24" ht="6" customHeight="1" x14ac:dyDescent="0.2"/>
    <row r="18" spans="3:24" s="15" customFormat="1" ht="13" x14ac:dyDescent="0.2">
      <c r="C18" s="15" t="s">
        <v>141</v>
      </c>
      <c r="D18" s="92">
        <v>0.1</v>
      </c>
      <c r="E18" s="33"/>
      <c r="F18" s="49">
        <f>$D18</f>
        <v>0.1</v>
      </c>
      <c r="G18" s="49">
        <f t="shared" ref="G18:X18" si="10">$D18</f>
        <v>0.1</v>
      </c>
      <c r="H18" s="49">
        <f t="shared" si="10"/>
        <v>0.1</v>
      </c>
      <c r="I18" s="49">
        <f t="shared" si="10"/>
        <v>0.1</v>
      </c>
      <c r="J18" s="49">
        <f t="shared" si="10"/>
        <v>0.1</v>
      </c>
      <c r="K18" s="49">
        <f t="shared" si="10"/>
        <v>0.1</v>
      </c>
      <c r="L18" s="49">
        <f t="shared" si="10"/>
        <v>0.1</v>
      </c>
      <c r="M18" s="49">
        <f t="shared" si="10"/>
        <v>0.1</v>
      </c>
      <c r="N18" s="49">
        <f t="shared" si="10"/>
        <v>0.1</v>
      </c>
      <c r="O18" s="49">
        <f t="shared" si="10"/>
        <v>0.1</v>
      </c>
      <c r="P18" s="49">
        <f t="shared" si="10"/>
        <v>0.1</v>
      </c>
      <c r="Q18" s="49">
        <f t="shared" si="10"/>
        <v>0.1</v>
      </c>
      <c r="S18" s="49">
        <f t="shared" si="10"/>
        <v>0.1</v>
      </c>
      <c r="T18" s="49">
        <f t="shared" si="10"/>
        <v>0.1</v>
      </c>
      <c r="U18" s="49">
        <f t="shared" si="10"/>
        <v>0.1</v>
      </c>
      <c r="V18" s="49">
        <f t="shared" si="10"/>
        <v>0.1</v>
      </c>
      <c r="X18" s="49">
        <f t="shared" si="10"/>
        <v>0.1</v>
      </c>
    </row>
    <row r="19" spans="3:24" ht="6" customHeight="1" x14ac:dyDescent="0.2"/>
    <row r="20" spans="3:24" x14ac:dyDescent="0.2">
      <c r="C20" s="17" t="s">
        <v>142</v>
      </c>
      <c r="D20" s="31"/>
      <c r="E20" s="42"/>
      <c r="F20" s="18">
        <f>F16*(1+F18)</f>
        <v>154.29086538461542</v>
      </c>
      <c r="G20" s="18">
        <f t="shared" ref="G20:X20" si="11">G16*(1+G18)</f>
        <v>154.29086538461542</v>
      </c>
      <c r="H20" s="18">
        <f t="shared" si="11"/>
        <v>154.29086538461542</v>
      </c>
      <c r="I20" s="18">
        <f t="shared" si="11"/>
        <v>154.29086538461542</v>
      </c>
      <c r="J20" s="18">
        <f t="shared" si="11"/>
        <v>154.29086538461542</v>
      </c>
      <c r="K20" s="18">
        <f t="shared" si="11"/>
        <v>154.29086538461542</v>
      </c>
      <c r="L20" s="18">
        <f t="shared" si="11"/>
        <v>154.29086538461542</v>
      </c>
      <c r="M20" s="18">
        <f t="shared" si="11"/>
        <v>154.29086538461542</v>
      </c>
      <c r="N20" s="18">
        <f t="shared" si="11"/>
        <v>154.29086538461542</v>
      </c>
      <c r="O20" s="18">
        <f t="shared" si="11"/>
        <v>154.29086538461542</v>
      </c>
      <c r="P20" s="18">
        <f t="shared" si="11"/>
        <v>154.29086538461542</v>
      </c>
      <c r="Q20" s="18">
        <f t="shared" si="11"/>
        <v>154.29086538461542</v>
      </c>
      <c r="S20" s="18">
        <f t="shared" si="11"/>
        <v>154.29086538461542</v>
      </c>
      <c r="T20" s="18">
        <f t="shared" si="11"/>
        <v>154.29086538461542</v>
      </c>
      <c r="U20" s="18">
        <f t="shared" si="11"/>
        <v>154.29086538461542</v>
      </c>
      <c r="V20" s="18">
        <f t="shared" si="11"/>
        <v>154.29086538461542</v>
      </c>
      <c r="X20" s="18">
        <f t="shared" si="11"/>
        <v>154.29086538461542</v>
      </c>
    </row>
    <row r="21" spans="3:24" ht="6" customHeight="1" x14ac:dyDescent="0.2"/>
    <row r="22" spans="3:24" x14ac:dyDescent="0.2">
      <c r="C22" s="12" t="s">
        <v>143</v>
      </c>
      <c r="D22" s="32"/>
      <c r="E22" s="32"/>
      <c r="F22" s="41"/>
      <c r="G22" s="41"/>
      <c r="H22" s="41"/>
      <c r="I22" s="7"/>
      <c r="J22" s="7"/>
      <c r="K22" s="7"/>
      <c r="L22" s="7"/>
      <c r="M22" s="7"/>
      <c r="N22" s="7"/>
      <c r="O22" s="7"/>
      <c r="P22" s="7"/>
      <c r="Q22" s="7"/>
      <c r="S22" s="7"/>
      <c r="T22" s="7"/>
      <c r="U22" s="7"/>
      <c r="V22" s="7"/>
      <c r="X22" s="7"/>
    </row>
    <row r="23" spans="3:24" x14ac:dyDescent="0.2">
      <c r="C23" s="83" t="s">
        <v>76</v>
      </c>
      <c r="D23" s="32"/>
      <c r="E23" s="32"/>
      <c r="F23" s="41"/>
      <c r="G23" s="41"/>
      <c r="H23" s="41"/>
      <c r="I23" s="7"/>
      <c r="J23" s="7"/>
      <c r="K23" s="7"/>
      <c r="L23" s="7"/>
      <c r="M23" s="7"/>
      <c r="N23" s="7"/>
      <c r="O23" s="7"/>
      <c r="P23" s="7"/>
      <c r="Q23" s="7"/>
      <c r="S23" s="7"/>
      <c r="T23" s="7"/>
      <c r="U23" s="7"/>
      <c r="V23" s="7"/>
      <c r="X23" s="7"/>
    </row>
    <row r="24" spans="3:24" x14ac:dyDescent="0.2">
      <c r="C24" s="84" t="s">
        <v>10</v>
      </c>
      <c r="D24" s="93">
        <v>40</v>
      </c>
      <c r="E24" s="97" t="s">
        <v>92</v>
      </c>
      <c r="F24" s="54">
        <f>'Sales Forecast'!D25*Labor!$D24</f>
        <v>0</v>
      </c>
      <c r="G24" s="54">
        <f>'Sales Forecast'!E25*Labor!$D24</f>
        <v>0</v>
      </c>
      <c r="H24" s="54">
        <f>'Sales Forecast'!F25*Labor!$D24</f>
        <v>0</v>
      </c>
      <c r="I24" s="54">
        <f>'Sales Forecast'!G25*Labor!$D24</f>
        <v>0</v>
      </c>
      <c r="J24" s="54">
        <f>'Sales Forecast'!H25*Labor!$D24</f>
        <v>0</v>
      </c>
      <c r="K24" s="54">
        <f>'Sales Forecast'!I25*Labor!$D24</f>
        <v>0</v>
      </c>
      <c r="L24" s="54">
        <f>'Sales Forecast'!J25*Labor!$D24</f>
        <v>0</v>
      </c>
      <c r="M24" s="54">
        <f>'Sales Forecast'!K25*Labor!$D24</f>
        <v>0</v>
      </c>
      <c r="N24" s="54">
        <f>'Sales Forecast'!L25*Labor!$D24</f>
        <v>200</v>
      </c>
      <c r="O24" s="54">
        <f>'Sales Forecast'!M25*Labor!$D24</f>
        <v>200</v>
      </c>
      <c r="P24" s="54">
        <f>'Sales Forecast'!N25*Labor!$D24</f>
        <v>400</v>
      </c>
      <c r="Q24" s="54">
        <f>'Sales Forecast'!O25*Labor!$D24</f>
        <v>400</v>
      </c>
      <c r="S24" s="44">
        <f>SUM(F24:H24)</f>
        <v>0</v>
      </c>
      <c r="T24" s="44">
        <f>SUM(I24:K24)</f>
        <v>0</v>
      </c>
      <c r="U24" s="44">
        <f>SUM(L24:N24)</f>
        <v>200</v>
      </c>
      <c r="V24" s="44">
        <f>SUM(O24:Q24)</f>
        <v>1000</v>
      </c>
      <c r="X24" s="44">
        <f>SUM(S24:V24)</f>
        <v>1200</v>
      </c>
    </row>
    <row r="25" spans="3:24" x14ac:dyDescent="0.2">
      <c r="C25" s="84" t="s">
        <v>11</v>
      </c>
      <c r="D25" s="93">
        <v>40</v>
      </c>
      <c r="E25" s="97" t="s">
        <v>92</v>
      </c>
      <c r="F25" s="54">
        <f>'Sales Forecast'!D26*Labor!$D25</f>
        <v>0</v>
      </c>
      <c r="G25" s="54">
        <f>'Sales Forecast'!E26*Labor!$D25</f>
        <v>0</v>
      </c>
      <c r="H25" s="54">
        <f>'Sales Forecast'!F26*Labor!$D25</f>
        <v>0</v>
      </c>
      <c r="I25" s="54">
        <f>'Sales Forecast'!G26*Labor!$D25</f>
        <v>0</v>
      </c>
      <c r="J25" s="54">
        <f>'Sales Forecast'!H26*Labor!$D25</f>
        <v>0</v>
      </c>
      <c r="K25" s="54">
        <f>'Sales Forecast'!I26*Labor!$D25</f>
        <v>0</v>
      </c>
      <c r="L25" s="54">
        <f>'Sales Forecast'!J26*Labor!$D25</f>
        <v>0</v>
      </c>
      <c r="M25" s="54">
        <f>'Sales Forecast'!K26*Labor!$D25</f>
        <v>0</v>
      </c>
      <c r="N25" s="54">
        <f>'Sales Forecast'!L26*Labor!$D25</f>
        <v>0</v>
      </c>
      <c r="O25" s="54">
        <f>'Sales Forecast'!M26*Labor!$D25</f>
        <v>0</v>
      </c>
      <c r="P25" s="54">
        <f>'Sales Forecast'!N26*Labor!$D25</f>
        <v>0</v>
      </c>
      <c r="Q25" s="54">
        <f>'Sales Forecast'!O26*Labor!$D25</f>
        <v>0</v>
      </c>
      <c r="S25" s="44">
        <f t="shared" ref="S25:S27" si="12">SUM(F25:H25)</f>
        <v>0</v>
      </c>
      <c r="T25" s="44">
        <f t="shared" ref="T25:T27" si="13">SUM(I25:K25)</f>
        <v>0</v>
      </c>
      <c r="U25" s="44">
        <f t="shared" ref="U25:U27" si="14">SUM(L25:N25)</f>
        <v>0</v>
      </c>
      <c r="V25" s="44">
        <f t="shared" ref="V25:V27" si="15">SUM(O25:Q25)</f>
        <v>0</v>
      </c>
      <c r="X25" s="44">
        <f t="shared" ref="X25:X27" si="16">SUM(S25:V25)</f>
        <v>0</v>
      </c>
    </row>
    <row r="26" spans="3:24" x14ac:dyDescent="0.2">
      <c r="C26" s="84" t="s">
        <v>12</v>
      </c>
      <c r="D26" s="93">
        <v>10</v>
      </c>
      <c r="E26" s="97" t="s">
        <v>69</v>
      </c>
      <c r="F26" s="54">
        <f>'Sales Forecast'!D27</f>
        <v>0</v>
      </c>
      <c r="G26" s="54">
        <f>'Sales Forecast'!E27</f>
        <v>0</v>
      </c>
      <c r="H26" s="54">
        <f>'Sales Forecast'!F27</f>
        <v>0</v>
      </c>
      <c r="I26" s="54">
        <f>'Sales Forecast'!G27</f>
        <v>0</v>
      </c>
      <c r="J26" s="54">
        <f>'Sales Forecast'!H27</f>
        <v>0</v>
      </c>
      <c r="K26" s="54">
        <f>'Sales Forecast'!I27</f>
        <v>3</v>
      </c>
      <c r="L26" s="54">
        <f>'Sales Forecast'!J27</f>
        <v>0</v>
      </c>
      <c r="M26" s="54">
        <f>'Sales Forecast'!K27</f>
        <v>3</v>
      </c>
      <c r="N26" s="54">
        <f>'Sales Forecast'!L27</f>
        <v>0</v>
      </c>
      <c r="O26" s="54">
        <f>'Sales Forecast'!M27</f>
        <v>3</v>
      </c>
      <c r="P26" s="54">
        <f>'Sales Forecast'!N27</f>
        <v>0</v>
      </c>
      <c r="Q26" s="54">
        <f>'Sales Forecast'!O27</f>
        <v>3</v>
      </c>
      <c r="S26" s="44">
        <f t="shared" si="12"/>
        <v>0</v>
      </c>
      <c r="T26" s="44">
        <f t="shared" si="13"/>
        <v>3</v>
      </c>
      <c r="U26" s="44">
        <f t="shared" si="14"/>
        <v>3</v>
      </c>
      <c r="V26" s="44">
        <f t="shared" si="15"/>
        <v>6</v>
      </c>
      <c r="X26" s="44">
        <f t="shared" si="16"/>
        <v>12</v>
      </c>
    </row>
    <row r="27" spans="3:24" x14ac:dyDescent="0.2">
      <c r="C27" s="84" t="s">
        <v>13</v>
      </c>
      <c r="D27" s="93">
        <v>10</v>
      </c>
      <c r="E27" s="97" t="s">
        <v>69</v>
      </c>
      <c r="F27" s="54">
        <f>'Sales Forecast'!D28</f>
        <v>0</v>
      </c>
      <c r="G27" s="54">
        <f>'Sales Forecast'!E28</f>
        <v>0</v>
      </c>
      <c r="H27" s="54">
        <f>'Sales Forecast'!F28</f>
        <v>0</v>
      </c>
      <c r="I27" s="54">
        <f>'Sales Forecast'!G28</f>
        <v>0</v>
      </c>
      <c r="J27" s="54">
        <f>'Sales Forecast'!H28</f>
        <v>0</v>
      </c>
      <c r="K27" s="54">
        <f>'Sales Forecast'!I28</f>
        <v>0</v>
      </c>
      <c r="L27" s="54">
        <f>'Sales Forecast'!J28</f>
        <v>0</v>
      </c>
      <c r="M27" s="54">
        <f>'Sales Forecast'!K28</f>
        <v>0</v>
      </c>
      <c r="N27" s="54">
        <f>'Sales Forecast'!L28</f>
        <v>3</v>
      </c>
      <c r="O27" s="54">
        <f>'Sales Forecast'!M28</f>
        <v>3</v>
      </c>
      <c r="P27" s="54">
        <f>'Sales Forecast'!N28</f>
        <v>6</v>
      </c>
      <c r="Q27" s="54">
        <f>'Sales Forecast'!O28</f>
        <v>6</v>
      </c>
      <c r="S27" s="44">
        <f t="shared" si="12"/>
        <v>0</v>
      </c>
      <c r="T27" s="44">
        <f t="shared" si="13"/>
        <v>0</v>
      </c>
      <c r="U27" s="44">
        <f t="shared" si="14"/>
        <v>3</v>
      </c>
      <c r="V27" s="44">
        <f t="shared" si="15"/>
        <v>15</v>
      </c>
      <c r="X27" s="44">
        <f t="shared" si="16"/>
        <v>18</v>
      </c>
    </row>
    <row r="28" spans="3:24" x14ac:dyDescent="0.2">
      <c r="C28" s="57" t="s">
        <v>144</v>
      </c>
      <c r="D28" s="58"/>
      <c r="E28" s="38"/>
      <c r="F28" s="88">
        <f t="shared" ref="F28:Q28" si="17">SUM(F24:F27)</f>
        <v>0</v>
      </c>
      <c r="G28" s="88">
        <f t="shared" si="17"/>
        <v>0</v>
      </c>
      <c r="H28" s="88">
        <f t="shared" si="17"/>
        <v>0</v>
      </c>
      <c r="I28" s="88">
        <f t="shared" si="17"/>
        <v>0</v>
      </c>
      <c r="J28" s="88">
        <f t="shared" si="17"/>
        <v>0</v>
      </c>
      <c r="K28" s="88">
        <f t="shared" si="17"/>
        <v>3</v>
      </c>
      <c r="L28" s="88">
        <f t="shared" si="17"/>
        <v>0</v>
      </c>
      <c r="M28" s="88">
        <f t="shared" si="17"/>
        <v>3</v>
      </c>
      <c r="N28" s="88">
        <f t="shared" si="17"/>
        <v>203</v>
      </c>
      <c r="O28" s="88">
        <f t="shared" si="17"/>
        <v>206</v>
      </c>
      <c r="P28" s="88">
        <f t="shared" si="17"/>
        <v>406</v>
      </c>
      <c r="Q28" s="88">
        <f t="shared" si="17"/>
        <v>409</v>
      </c>
      <c r="S28" s="88">
        <f>SUM(S24:S27)</f>
        <v>0</v>
      </c>
      <c r="T28" s="88">
        <f>SUM(T24:T27)</f>
        <v>3</v>
      </c>
      <c r="U28" s="88">
        <f>SUM(U24:U27)</f>
        <v>206</v>
      </c>
      <c r="V28" s="88">
        <f>SUM(V24:V27)</f>
        <v>1021</v>
      </c>
      <c r="X28" s="88">
        <f>SUM(X24:X27)</f>
        <v>1230</v>
      </c>
    </row>
    <row r="29" spans="3:24" x14ac:dyDescent="0.2">
      <c r="C29" s="83" t="s">
        <v>80</v>
      </c>
      <c r="D29" s="58"/>
      <c r="E29" s="38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S29" s="44"/>
      <c r="T29" s="44"/>
      <c r="U29" s="44"/>
      <c r="V29" s="44"/>
      <c r="X29" s="44"/>
    </row>
    <row r="30" spans="3:24" x14ac:dyDescent="0.2">
      <c r="C30" s="84" t="s">
        <v>10</v>
      </c>
      <c r="D30" s="93">
        <v>40</v>
      </c>
      <c r="E30" s="97" t="s">
        <v>92</v>
      </c>
      <c r="F30" s="54">
        <f>'Sales Forecast'!D30*Labor!$D30</f>
        <v>0</v>
      </c>
      <c r="G30" s="54">
        <f>'Sales Forecast'!E30*Labor!$D30</f>
        <v>0</v>
      </c>
      <c r="H30" s="54">
        <f>'Sales Forecast'!F30*Labor!$D30</f>
        <v>0</v>
      </c>
      <c r="I30" s="54">
        <f>'Sales Forecast'!G30*Labor!$D30</f>
        <v>200</v>
      </c>
      <c r="J30" s="54">
        <f>'Sales Forecast'!H30*Labor!$D30</f>
        <v>400</v>
      </c>
      <c r="K30" s="54">
        <f>'Sales Forecast'!I30*Labor!$D30</f>
        <v>600</v>
      </c>
      <c r="L30" s="54">
        <f>'Sales Forecast'!J30*Labor!$D30</f>
        <v>1200</v>
      </c>
      <c r="M30" s="54">
        <f>'Sales Forecast'!K30*Labor!$D30</f>
        <v>2200</v>
      </c>
      <c r="N30" s="54">
        <f>'Sales Forecast'!L30*Labor!$D30</f>
        <v>3200</v>
      </c>
      <c r="O30" s="54">
        <f>'Sales Forecast'!M30*Labor!$D30</f>
        <v>5200</v>
      </c>
      <c r="P30" s="54">
        <f>'Sales Forecast'!N30*Labor!$D30</f>
        <v>7200</v>
      </c>
      <c r="Q30" s="54">
        <f>'Sales Forecast'!O30*Labor!$D30</f>
        <v>9600</v>
      </c>
      <c r="S30" s="44">
        <f>SUM(F30:H30)</f>
        <v>0</v>
      </c>
      <c r="T30" s="44">
        <f>SUM(I30:K30)</f>
        <v>1200</v>
      </c>
      <c r="U30" s="44">
        <f>SUM(L30:N30)</f>
        <v>6600</v>
      </c>
      <c r="V30" s="44">
        <f>SUM(O30:Q30)</f>
        <v>22000</v>
      </c>
      <c r="X30" s="44">
        <f>SUM(S30:V30)</f>
        <v>29800</v>
      </c>
    </row>
    <row r="31" spans="3:24" x14ac:dyDescent="0.2">
      <c r="C31" s="84" t="s">
        <v>11</v>
      </c>
      <c r="D31" s="93">
        <v>40</v>
      </c>
      <c r="E31" s="97" t="s">
        <v>92</v>
      </c>
      <c r="F31" s="54">
        <f>'Sales Forecast'!D31*Labor!$D31</f>
        <v>0</v>
      </c>
      <c r="G31" s="54">
        <f>'Sales Forecast'!E31*Labor!$D31</f>
        <v>0</v>
      </c>
      <c r="H31" s="54">
        <f>'Sales Forecast'!F31*Labor!$D31</f>
        <v>0</v>
      </c>
      <c r="I31" s="54">
        <f>'Sales Forecast'!G31*Labor!$D31</f>
        <v>0</v>
      </c>
      <c r="J31" s="54">
        <f>'Sales Forecast'!H31*Labor!$D31</f>
        <v>0</v>
      </c>
      <c r="K31" s="54">
        <f>'Sales Forecast'!I31*Labor!$D31</f>
        <v>0</v>
      </c>
      <c r="L31" s="54">
        <f>'Sales Forecast'!J31*Labor!$D31</f>
        <v>0</v>
      </c>
      <c r="M31" s="54">
        <f>'Sales Forecast'!K31*Labor!$D31</f>
        <v>0</v>
      </c>
      <c r="N31" s="54">
        <f>'Sales Forecast'!L31*Labor!$D31</f>
        <v>0</v>
      </c>
      <c r="O31" s="54">
        <f>'Sales Forecast'!M31*Labor!$D31</f>
        <v>0</v>
      </c>
      <c r="P31" s="54">
        <f>'Sales Forecast'!N31*Labor!$D31</f>
        <v>0</v>
      </c>
      <c r="Q31" s="54">
        <f>'Sales Forecast'!O31*Labor!$D31</f>
        <v>0</v>
      </c>
      <c r="S31" s="44">
        <f t="shared" ref="S31:S33" si="18">SUM(F31:H31)</f>
        <v>0</v>
      </c>
      <c r="T31" s="44">
        <f t="shared" ref="T31:T33" si="19">SUM(I31:K31)</f>
        <v>0</v>
      </c>
      <c r="U31" s="44">
        <f t="shared" ref="U31:U33" si="20">SUM(L31:N31)</f>
        <v>0</v>
      </c>
      <c r="V31" s="44">
        <f t="shared" ref="V31:V33" si="21">SUM(O31:Q31)</f>
        <v>0</v>
      </c>
      <c r="X31" s="44">
        <f t="shared" ref="X31:X33" si="22">SUM(S31:V31)</f>
        <v>0</v>
      </c>
    </row>
    <row r="32" spans="3:24" x14ac:dyDescent="0.2">
      <c r="C32" s="84" t="s">
        <v>12</v>
      </c>
      <c r="D32" s="93">
        <v>10</v>
      </c>
      <c r="E32" s="97" t="s">
        <v>69</v>
      </c>
      <c r="F32" s="54">
        <f>'Sales Forecast'!D32</f>
        <v>0</v>
      </c>
      <c r="G32" s="54">
        <f>'Sales Forecast'!E32</f>
        <v>3</v>
      </c>
      <c r="H32" s="54">
        <f>'Sales Forecast'!F32</f>
        <v>3</v>
      </c>
      <c r="I32" s="54">
        <f>'Sales Forecast'!G32</f>
        <v>9</v>
      </c>
      <c r="J32" s="54">
        <f>'Sales Forecast'!H32</f>
        <v>15</v>
      </c>
      <c r="K32" s="54">
        <f>'Sales Forecast'!I32</f>
        <v>15</v>
      </c>
      <c r="L32" s="54">
        <f>'Sales Forecast'!J32</f>
        <v>30</v>
      </c>
      <c r="M32" s="54">
        <f>'Sales Forecast'!K32</f>
        <v>30</v>
      </c>
      <c r="N32" s="54">
        <f>'Sales Forecast'!L32</f>
        <v>36</v>
      </c>
      <c r="O32" s="54">
        <f>'Sales Forecast'!M32</f>
        <v>36</v>
      </c>
      <c r="P32" s="54">
        <f>'Sales Forecast'!N32</f>
        <v>42</v>
      </c>
      <c r="Q32" s="54">
        <f>'Sales Forecast'!O32</f>
        <v>42</v>
      </c>
      <c r="S32" s="44">
        <f t="shared" si="18"/>
        <v>6</v>
      </c>
      <c r="T32" s="44">
        <f t="shared" si="19"/>
        <v>39</v>
      </c>
      <c r="U32" s="44">
        <f t="shared" si="20"/>
        <v>96</v>
      </c>
      <c r="V32" s="44">
        <f t="shared" si="21"/>
        <v>120</v>
      </c>
      <c r="X32" s="44">
        <f t="shared" si="22"/>
        <v>261</v>
      </c>
    </row>
    <row r="33" spans="3:24" x14ac:dyDescent="0.2">
      <c r="C33" s="84" t="s">
        <v>13</v>
      </c>
      <c r="D33" s="93">
        <v>10</v>
      </c>
      <c r="E33" s="97" t="s">
        <v>69</v>
      </c>
      <c r="F33" s="54">
        <f>'Sales Forecast'!D33</f>
        <v>0</v>
      </c>
      <c r="G33" s="54">
        <f>'Sales Forecast'!E33</f>
        <v>0</v>
      </c>
      <c r="H33" s="54">
        <f>'Sales Forecast'!F33</f>
        <v>0</v>
      </c>
      <c r="I33" s="54">
        <f>'Sales Forecast'!G33</f>
        <v>3</v>
      </c>
      <c r="J33" s="54">
        <f>'Sales Forecast'!H33</f>
        <v>6</v>
      </c>
      <c r="K33" s="54">
        <f>'Sales Forecast'!I33</f>
        <v>9</v>
      </c>
      <c r="L33" s="54">
        <f>'Sales Forecast'!J33</f>
        <v>18</v>
      </c>
      <c r="M33" s="54">
        <f>'Sales Forecast'!K33</f>
        <v>33</v>
      </c>
      <c r="N33" s="54">
        <f>'Sales Forecast'!L33</f>
        <v>48</v>
      </c>
      <c r="O33" s="54">
        <f>'Sales Forecast'!M33</f>
        <v>78</v>
      </c>
      <c r="P33" s="54">
        <f>'Sales Forecast'!N33</f>
        <v>108</v>
      </c>
      <c r="Q33" s="54">
        <f>'Sales Forecast'!O33</f>
        <v>144</v>
      </c>
      <c r="S33" s="44">
        <f t="shared" si="18"/>
        <v>0</v>
      </c>
      <c r="T33" s="44">
        <f t="shared" si="19"/>
        <v>18</v>
      </c>
      <c r="U33" s="44">
        <f t="shared" si="20"/>
        <v>99</v>
      </c>
      <c r="V33" s="44">
        <f t="shared" si="21"/>
        <v>330</v>
      </c>
      <c r="X33" s="44">
        <f t="shared" si="22"/>
        <v>447</v>
      </c>
    </row>
    <row r="34" spans="3:24" x14ac:dyDescent="0.2">
      <c r="C34" s="57" t="s">
        <v>145</v>
      </c>
      <c r="D34" s="58"/>
      <c r="E34" s="59"/>
      <c r="F34" s="88">
        <f t="shared" ref="F34:Q34" si="23">SUM(F30:F33)</f>
        <v>0</v>
      </c>
      <c r="G34" s="88">
        <f t="shared" si="23"/>
        <v>3</v>
      </c>
      <c r="H34" s="88">
        <f t="shared" si="23"/>
        <v>3</v>
      </c>
      <c r="I34" s="88">
        <f t="shared" si="23"/>
        <v>212</v>
      </c>
      <c r="J34" s="88">
        <f t="shared" si="23"/>
        <v>421</v>
      </c>
      <c r="K34" s="88">
        <f t="shared" si="23"/>
        <v>624</v>
      </c>
      <c r="L34" s="88">
        <f t="shared" si="23"/>
        <v>1248</v>
      </c>
      <c r="M34" s="88">
        <f t="shared" si="23"/>
        <v>2263</v>
      </c>
      <c r="N34" s="88">
        <f t="shared" si="23"/>
        <v>3284</v>
      </c>
      <c r="O34" s="88">
        <f t="shared" si="23"/>
        <v>5314</v>
      </c>
      <c r="P34" s="88">
        <f t="shared" si="23"/>
        <v>7350</v>
      </c>
      <c r="Q34" s="88">
        <f t="shared" si="23"/>
        <v>9786</v>
      </c>
      <c r="S34" s="88">
        <f>SUM(S30:S33)</f>
        <v>6</v>
      </c>
      <c r="T34" s="88">
        <f>SUM(T30:T33)</f>
        <v>1257</v>
      </c>
      <c r="U34" s="88">
        <f>SUM(U30:U33)</f>
        <v>6795</v>
      </c>
      <c r="V34" s="88">
        <f>SUM(V30:V33)</f>
        <v>22450</v>
      </c>
      <c r="X34" s="88">
        <f>SUM(X30:X33)</f>
        <v>30508</v>
      </c>
    </row>
    <row r="35" spans="3:24" x14ac:dyDescent="0.2">
      <c r="C35" s="57"/>
      <c r="D35" s="58"/>
      <c r="E35" s="59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S35" s="44"/>
      <c r="T35" s="44"/>
      <c r="U35" s="44"/>
      <c r="V35" s="44"/>
      <c r="X35" s="44"/>
    </row>
    <row r="36" spans="3:24" ht="15" thickBot="1" x14ac:dyDescent="0.25">
      <c r="C36" s="12" t="s">
        <v>146</v>
      </c>
      <c r="D36" s="32"/>
      <c r="E36" s="32"/>
      <c r="F36" s="87">
        <f t="shared" ref="F36:Q36" si="24">F28+F34</f>
        <v>0</v>
      </c>
      <c r="G36" s="87">
        <f t="shared" si="24"/>
        <v>3</v>
      </c>
      <c r="H36" s="87">
        <f t="shared" si="24"/>
        <v>3</v>
      </c>
      <c r="I36" s="87">
        <f t="shared" si="24"/>
        <v>212</v>
      </c>
      <c r="J36" s="87">
        <f t="shared" si="24"/>
        <v>421</v>
      </c>
      <c r="K36" s="87">
        <f t="shared" si="24"/>
        <v>627</v>
      </c>
      <c r="L36" s="87">
        <f t="shared" si="24"/>
        <v>1248</v>
      </c>
      <c r="M36" s="87">
        <f t="shared" si="24"/>
        <v>2266</v>
      </c>
      <c r="N36" s="87">
        <f t="shared" si="24"/>
        <v>3487</v>
      </c>
      <c r="O36" s="87">
        <f t="shared" si="24"/>
        <v>5520</v>
      </c>
      <c r="P36" s="87">
        <f t="shared" si="24"/>
        <v>7756</v>
      </c>
      <c r="Q36" s="87">
        <f t="shared" si="24"/>
        <v>10195</v>
      </c>
      <c r="S36" s="87">
        <f>S28+S34</f>
        <v>6</v>
      </c>
      <c r="T36" s="87">
        <f>T28+T34</f>
        <v>1260</v>
      </c>
      <c r="U36" s="87">
        <f>U28+U34</f>
        <v>7001</v>
      </c>
      <c r="V36" s="87">
        <f>V28+V34</f>
        <v>23471</v>
      </c>
      <c r="X36" s="87">
        <f>X28+X34</f>
        <v>31738</v>
      </c>
    </row>
    <row r="37" spans="3:24" ht="6" customHeight="1" x14ac:dyDescent="0.2"/>
    <row r="38" spans="3:24" x14ac:dyDescent="0.2">
      <c r="C38" s="12" t="s">
        <v>122</v>
      </c>
      <c r="D38" s="32"/>
      <c r="E38" s="43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S38" s="7"/>
      <c r="T38" s="7"/>
      <c r="U38" s="7"/>
      <c r="V38" s="7"/>
      <c r="X38" s="7"/>
    </row>
    <row r="39" spans="3:24" x14ac:dyDescent="0.2">
      <c r="C39" s="83" t="s">
        <v>76</v>
      </c>
      <c r="D39" s="32"/>
      <c r="E39" s="43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S39" s="7"/>
      <c r="T39" s="7"/>
      <c r="U39" s="7"/>
      <c r="V39" s="7"/>
      <c r="X39" s="7"/>
    </row>
    <row r="40" spans="3:24" x14ac:dyDescent="0.2">
      <c r="C40" s="84" t="s">
        <v>10</v>
      </c>
      <c r="D40" s="32"/>
      <c r="E40" s="43"/>
      <c r="F40" s="7">
        <f t="shared" ref="F40:Q40" si="25">F24*F$20</f>
        <v>0</v>
      </c>
      <c r="G40" s="7">
        <f t="shared" si="25"/>
        <v>0</v>
      </c>
      <c r="H40" s="7">
        <f t="shared" si="25"/>
        <v>0</v>
      </c>
      <c r="I40" s="7">
        <f t="shared" si="25"/>
        <v>0</v>
      </c>
      <c r="J40" s="7">
        <f t="shared" si="25"/>
        <v>0</v>
      </c>
      <c r="K40" s="7">
        <f t="shared" si="25"/>
        <v>0</v>
      </c>
      <c r="L40" s="7">
        <f t="shared" si="25"/>
        <v>0</v>
      </c>
      <c r="M40" s="7">
        <f t="shared" si="25"/>
        <v>0</v>
      </c>
      <c r="N40" s="7">
        <f t="shared" si="25"/>
        <v>30858.173076923082</v>
      </c>
      <c r="O40" s="7">
        <f t="shared" si="25"/>
        <v>30858.173076923082</v>
      </c>
      <c r="P40" s="7">
        <f t="shared" si="25"/>
        <v>61716.346153846163</v>
      </c>
      <c r="Q40" s="7">
        <f t="shared" si="25"/>
        <v>61716.346153846163</v>
      </c>
      <c r="S40" s="7">
        <f t="shared" ref="S40:S43" si="26">SUM(F40:H40)</f>
        <v>0</v>
      </c>
      <c r="T40" s="7">
        <f t="shared" ref="T40:T43" si="27">SUM(I40:K40)</f>
        <v>0</v>
      </c>
      <c r="U40" s="7">
        <f t="shared" ref="U40:U43" si="28">SUM(L40:N40)</f>
        <v>30858.173076923082</v>
      </c>
      <c r="V40" s="7">
        <f t="shared" ref="V40:V43" si="29">SUM(O40:Q40)</f>
        <v>154290.8653846154</v>
      </c>
      <c r="X40" s="7">
        <f t="shared" ref="X40:X43" si="30">SUM(S40:V40)</f>
        <v>185149.0384615385</v>
      </c>
    </row>
    <row r="41" spans="3:24" x14ac:dyDescent="0.2">
      <c r="C41" s="84" t="s">
        <v>11</v>
      </c>
      <c r="D41" s="32"/>
      <c r="E41" s="43"/>
      <c r="F41" s="7">
        <f t="shared" ref="F41:Q43" si="31">F25*F$20</f>
        <v>0</v>
      </c>
      <c r="G41" s="7">
        <f t="shared" si="31"/>
        <v>0</v>
      </c>
      <c r="H41" s="7">
        <f t="shared" si="31"/>
        <v>0</v>
      </c>
      <c r="I41" s="7">
        <f t="shared" si="31"/>
        <v>0</v>
      </c>
      <c r="J41" s="7">
        <f t="shared" si="31"/>
        <v>0</v>
      </c>
      <c r="K41" s="7">
        <f t="shared" si="31"/>
        <v>0</v>
      </c>
      <c r="L41" s="7">
        <f t="shared" si="31"/>
        <v>0</v>
      </c>
      <c r="M41" s="7">
        <f t="shared" si="31"/>
        <v>0</v>
      </c>
      <c r="N41" s="7">
        <f t="shared" si="31"/>
        <v>0</v>
      </c>
      <c r="O41" s="7">
        <f t="shared" si="31"/>
        <v>0</v>
      </c>
      <c r="P41" s="7">
        <f t="shared" si="31"/>
        <v>0</v>
      </c>
      <c r="Q41" s="7">
        <f t="shared" si="31"/>
        <v>0</v>
      </c>
      <c r="S41" s="7">
        <f t="shared" si="26"/>
        <v>0</v>
      </c>
      <c r="T41" s="7">
        <f t="shared" si="27"/>
        <v>0</v>
      </c>
      <c r="U41" s="7">
        <f t="shared" si="28"/>
        <v>0</v>
      </c>
      <c r="V41" s="7">
        <f t="shared" si="29"/>
        <v>0</v>
      </c>
      <c r="X41" s="7">
        <f t="shared" si="30"/>
        <v>0</v>
      </c>
    </row>
    <row r="42" spans="3:24" x14ac:dyDescent="0.2">
      <c r="C42" s="84" t="s">
        <v>12</v>
      </c>
      <c r="D42" s="32"/>
      <c r="E42" s="43"/>
      <c r="F42" s="7">
        <f t="shared" si="31"/>
        <v>0</v>
      </c>
      <c r="G42" s="7">
        <f t="shared" si="31"/>
        <v>0</v>
      </c>
      <c r="H42" s="7">
        <f t="shared" si="31"/>
        <v>0</v>
      </c>
      <c r="I42" s="7">
        <f t="shared" si="31"/>
        <v>0</v>
      </c>
      <c r="J42" s="7">
        <f t="shared" si="31"/>
        <v>0</v>
      </c>
      <c r="K42" s="7">
        <f t="shared" si="31"/>
        <v>462.87259615384625</v>
      </c>
      <c r="L42" s="7">
        <f t="shared" si="31"/>
        <v>0</v>
      </c>
      <c r="M42" s="7">
        <f t="shared" si="31"/>
        <v>462.87259615384625</v>
      </c>
      <c r="N42" s="7">
        <f t="shared" si="31"/>
        <v>0</v>
      </c>
      <c r="O42" s="7">
        <f t="shared" si="31"/>
        <v>462.87259615384625</v>
      </c>
      <c r="P42" s="7">
        <f t="shared" si="31"/>
        <v>0</v>
      </c>
      <c r="Q42" s="7">
        <f t="shared" si="31"/>
        <v>462.87259615384625</v>
      </c>
      <c r="S42" s="7">
        <f t="shared" si="26"/>
        <v>0</v>
      </c>
      <c r="T42" s="7">
        <f t="shared" si="27"/>
        <v>462.87259615384625</v>
      </c>
      <c r="U42" s="7">
        <f t="shared" si="28"/>
        <v>462.87259615384625</v>
      </c>
      <c r="V42" s="7">
        <f t="shared" si="29"/>
        <v>925.74519230769249</v>
      </c>
      <c r="X42" s="7">
        <f t="shared" si="30"/>
        <v>1851.490384615385</v>
      </c>
    </row>
    <row r="43" spans="3:24" x14ac:dyDescent="0.2">
      <c r="C43" s="84" t="s">
        <v>13</v>
      </c>
      <c r="D43" s="32"/>
      <c r="E43" s="43"/>
      <c r="F43" s="7">
        <f t="shared" si="31"/>
        <v>0</v>
      </c>
      <c r="G43" s="7">
        <f t="shared" si="31"/>
        <v>0</v>
      </c>
      <c r="H43" s="7">
        <f t="shared" si="31"/>
        <v>0</v>
      </c>
      <c r="I43" s="7">
        <f t="shared" si="31"/>
        <v>0</v>
      </c>
      <c r="J43" s="7">
        <f t="shared" si="31"/>
        <v>0</v>
      </c>
      <c r="K43" s="7">
        <f t="shared" si="31"/>
        <v>0</v>
      </c>
      <c r="L43" s="7">
        <f t="shared" si="31"/>
        <v>0</v>
      </c>
      <c r="M43" s="7">
        <f t="shared" si="31"/>
        <v>0</v>
      </c>
      <c r="N43" s="7">
        <f t="shared" si="31"/>
        <v>462.87259615384625</v>
      </c>
      <c r="O43" s="7">
        <f t="shared" si="31"/>
        <v>462.87259615384625</v>
      </c>
      <c r="P43" s="7">
        <f t="shared" si="31"/>
        <v>925.74519230769249</v>
      </c>
      <c r="Q43" s="7">
        <f t="shared" si="31"/>
        <v>925.74519230769249</v>
      </c>
      <c r="S43" s="7">
        <f t="shared" si="26"/>
        <v>0</v>
      </c>
      <c r="T43" s="7">
        <f t="shared" si="27"/>
        <v>0</v>
      </c>
      <c r="U43" s="7">
        <f t="shared" si="28"/>
        <v>462.87259615384625</v>
      </c>
      <c r="V43" s="7">
        <f t="shared" si="29"/>
        <v>2314.3629807692314</v>
      </c>
      <c r="X43" s="7">
        <f t="shared" si="30"/>
        <v>2777.2355769230776</v>
      </c>
    </row>
    <row r="44" spans="3:24" x14ac:dyDescent="0.2">
      <c r="C44" s="57" t="s">
        <v>147</v>
      </c>
      <c r="D44" s="31"/>
      <c r="E44" s="31"/>
      <c r="F44" s="18">
        <f t="shared" ref="F44:Q44" si="32">SUM(F40:F43)</f>
        <v>0</v>
      </c>
      <c r="G44" s="18">
        <f t="shared" si="32"/>
        <v>0</v>
      </c>
      <c r="H44" s="18">
        <f t="shared" si="32"/>
        <v>0</v>
      </c>
      <c r="I44" s="18">
        <f t="shared" si="32"/>
        <v>0</v>
      </c>
      <c r="J44" s="18">
        <f t="shared" si="32"/>
        <v>0</v>
      </c>
      <c r="K44" s="18">
        <f t="shared" si="32"/>
        <v>462.87259615384625</v>
      </c>
      <c r="L44" s="18">
        <f t="shared" si="32"/>
        <v>0</v>
      </c>
      <c r="M44" s="18">
        <f t="shared" si="32"/>
        <v>462.87259615384625</v>
      </c>
      <c r="N44" s="18">
        <f t="shared" si="32"/>
        <v>31321.045673076929</v>
      </c>
      <c r="O44" s="18">
        <f t="shared" si="32"/>
        <v>31783.918269230777</v>
      </c>
      <c r="P44" s="18">
        <f t="shared" si="32"/>
        <v>62642.091346153858</v>
      </c>
      <c r="Q44" s="18">
        <f t="shared" si="32"/>
        <v>63104.963942307702</v>
      </c>
      <c r="R44" s="17"/>
      <c r="S44" s="18">
        <f>SUM(S40:S43)</f>
        <v>0</v>
      </c>
      <c r="T44" s="18">
        <f>SUM(T40:T43)</f>
        <v>462.87259615384625</v>
      </c>
      <c r="U44" s="18">
        <f>SUM(U40:U43)</f>
        <v>31783.918269230777</v>
      </c>
      <c r="V44" s="18">
        <f>SUM(V40:V43)</f>
        <v>157530.97355769231</v>
      </c>
      <c r="W44" s="17"/>
      <c r="X44" s="18">
        <f>SUM(S44:V44)</f>
        <v>189777.76442307694</v>
      </c>
    </row>
    <row r="45" spans="3:24" x14ac:dyDescent="0.2">
      <c r="C45" s="83" t="s">
        <v>80</v>
      </c>
      <c r="D45" s="32"/>
      <c r="E45" s="43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S45" s="7"/>
      <c r="T45" s="7"/>
      <c r="U45" s="7"/>
      <c r="V45" s="7"/>
      <c r="X45" s="7"/>
    </row>
    <row r="46" spans="3:24" ht="15" customHeight="1" x14ac:dyDescent="0.2">
      <c r="C46" s="84" t="s">
        <v>10</v>
      </c>
      <c r="D46" s="32"/>
      <c r="E46" s="43"/>
      <c r="F46" s="7">
        <f t="shared" ref="F46:Q46" si="33">F30*F$20</f>
        <v>0</v>
      </c>
      <c r="G46" s="7">
        <f t="shared" si="33"/>
        <v>0</v>
      </c>
      <c r="H46" s="7">
        <f t="shared" si="33"/>
        <v>0</v>
      </c>
      <c r="I46" s="7">
        <f t="shared" si="33"/>
        <v>30858.173076923082</v>
      </c>
      <c r="J46" s="7">
        <f t="shared" si="33"/>
        <v>61716.346153846163</v>
      </c>
      <c r="K46" s="7">
        <f t="shared" si="33"/>
        <v>92574.519230769249</v>
      </c>
      <c r="L46" s="7">
        <f t="shared" si="33"/>
        <v>185149.0384615385</v>
      </c>
      <c r="M46" s="7">
        <f t="shared" si="33"/>
        <v>339439.90384615393</v>
      </c>
      <c r="N46" s="7">
        <f t="shared" si="33"/>
        <v>493730.76923076931</v>
      </c>
      <c r="O46" s="7">
        <f t="shared" si="33"/>
        <v>802312.50000000012</v>
      </c>
      <c r="P46" s="7">
        <f t="shared" si="33"/>
        <v>1110894.230769231</v>
      </c>
      <c r="Q46" s="7">
        <f t="shared" si="33"/>
        <v>1481192.307692308</v>
      </c>
      <c r="S46" s="7">
        <f t="shared" ref="S46:S49" si="34">SUM(F46:H46)</f>
        <v>0</v>
      </c>
      <c r="T46" s="7">
        <f t="shared" ref="T46:T49" si="35">SUM(I46:K46)</f>
        <v>185149.0384615385</v>
      </c>
      <c r="U46" s="7">
        <f t="shared" ref="U46:U49" si="36">SUM(L46:N46)</f>
        <v>1018319.7115384617</v>
      </c>
      <c r="V46" s="7">
        <f t="shared" ref="V46:V49" si="37">SUM(O46:Q46)</f>
        <v>3394399.038461539</v>
      </c>
      <c r="X46" s="7">
        <f t="shared" ref="X46:X49" si="38">SUM(S46:V46)</f>
        <v>4597867.788461539</v>
      </c>
    </row>
    <row r="47" spans="3:24" x14ac:dyDescent="0.2">
      <c r="C47" s="84" t="s">
        <v>11</v>
      </c>
      <c r="D47" s="32"/>
      <c r="E47" s="43"/>
      <c r="F47" s="7">
        <f t="shared" ref="F47:Q47" si="39">F31*F$20</f>
        <v>0</v>
      </c>
      <c r="G47" s="7">
        <f t="shared" si="39"/>
        <v>0</v>
      </c>
      <c r="H47" s="7">
        <f t="shared" si="39"/>
        <v>0</v>
      </c>
      <c r="I47" s="7">
        <f t="shared" si="39"/>
        <v>0</v>
      </c>
      <c r="J47" s="7">
        <f t="shared" si="39"/>
        <v>0</v>
      </c>
      <c r="K47" s="7">
        <f t="shared" si="39"/>
        <v>0</v>
      </c>
      <c r="L47" s="7">
        <f t="shared" si="39"/>
        <v>0</v>
      </c>
      <c r="M47" s="7">
        <f t="shared" si="39"/>
        <v>0</v>
      </c>
      <c r="N47" s="7">
        <f t="shared" si="39"/>
        <v>0</v>
      </c>
      <c r="O47" s="7">
        <f t="shared" si="39"/>
        <v>0</v>
      </c>
      <c r="P47" s="7">
        <f t="shared" si="39"/>
        <v>0</v>
      </c>
      <c r="Q47" s="7">
        <f t="shared" si="39"/>
        <v>0</v>
      </c>
      <c r="S47" s="7">
        <f t="shared" si="34"/>
        <v>0</v>
      </c>
      <c r="T47" s="7">
        <f t="shared" si="35"/>
        <v>0</v>
      </c>
      <c r="U47" s="7">
        <f t="shared" si="36"/>
        <v>0</v>
      </c>
      <c r="V47" s="7">
        <f t="shared" si="37"/>
        <v>0</v>
      </c>
      <c r="X47" s="7">
        <f t="shared" si="38"/>
        <v>0</v>
      </c>
    </row>
    <row r="48" spans="3:24" x14ac:dyDescent="0.2">
      <c r="C48" s="84" t="s">
        <v>12</v>
      </c>
      <c r="D48" s="32"/>
      <c r="E48" s="43"/>
      <c r="F48" s="7">
        <f t="shared" ref="F48:Q48" si="40">F32*F$20</f>
        <v>0</v>
      </c>
      <c r="G48" s="7">
        <f t="shared" si="40"/>
        <v>462.87259615384625</v>
      </c>
      <c r="H48" s="7">
        <f t="shared" si="40"/>
        <v>462.87259615384625</v>
      </c>
      <c r="I48" s="7">
        <f t="shared" si="40"/>
        <v>1388.6177884615388</v>
      </c>
      <c r="J48" s="7">
        <f t="shared" si="40"/>
        <v>2314.3629807692314</v>
      </c>
      <c r="K48" s="7">
        <f t="shared" si="40"/>
        <v>2314.3629807692314</v>
      </c>
      <c r="L48" s="7">
        <f t="shared" si="40"/>
        <v>4628.7259615384628</v>
      </c>
      <c r="M48" s="7">
        <f t="shared" si="40"/>
        <v>4628.7259615384628</v>
      </c>
      <c r="N48" s="7">
        <f t="shared" si="40"/>
        <v>5554.4711538461552</v>
      </c>
      <c r="O48" s="7">
        <f t="shared" si="40"/>
        <v>5554.4711538461552</v>
      </c>
      <c r="P48" s="7">
        <f t="shared" si="40"/>
        <v>6480.2163461538476</v>
      </c>
      <c r="Q48" s="7">
        <f t="shared" si="40"/>
        <v>6480.2163461538476</v>
      </c>
      <c r="S48" s="7">
        <f t="shared" si="34"/>
        <v>925.74519230769249</v>
      </c>
      <c r="T48" s="7">
        <f t="shared" si="35"/>
        <v>6017.3437500000018</v>
      </c>
      <c r="U48" s="7">
        <f t="shared" si="36"/>
        <v>14811.923076923082</v>
      </c>
      <c r="V48" s="7">
        <f t="shared" si="37"/>
        <v>18514.903846153851</v>
      </c>
      <c r="X48" s="7">
        <f t="shared" si="38"/>
        <v>40269.915865384624</v>
      </c>
    </row>
    <row r="49" spans="3:24" x14ac:dyDescent="0.2">
      <c r="C49" s="84" t="s">
        <v>13</v>
      </c>
      <c r="D49" s="32"/>
      <c r="E49" s="43"/>
      <c r="F49" s="7">
        <f t="shared" ref="F49:Q49" si="41">F33*F$20</f>
        <v>0</v>
      </c>
      <c r="G49" s="7">
        <f t="shared" si="41"/>
        <v>0</v>
      </c>
      <c r="H49" s="7">
        <f t="shared" si="41"/>
        <v>0</v>
      </c>
      <c r="I49" s="7">
        <f t="shared" si="41"/>
        <v>462.87259615384625</v>
      </c>
      <c r="J49" s="7">
        <f t="shared" si="41"/>
        <v>925.74519230769249</v>
      </c>
      <c r="K49" s="7">
        <f t="shared" si="41"/>
        <v>1388.6177884615388</v>
      </c>
      <c r="L49" s="7">
        <f t="shared" si="41"/>
        <v>2777.2355769230776</v>
      </c>
      <c r="M49" s="7">
        <f t="shared" si="41"/>
        <v>5091.5985576923085</v>
      </c>
      <c r="N49" s="7">
        <f t="shared" si="41"/>
        <v>7405.9615384615399</v>
      </c>
      <c r="O49" s="7">
        <f t="shared" si="41"/>
        <v>12034.687500000002</v>
      </c>
      <c r="P49" s="7">
        <f t="shared" si="41"/>
        <v>16663.413461538465</v>
      </c>
      <c r="Q49" s="7">
        <f t="shared" si="41"/>
        <v>22217.884615384621</v>
      </c>
      <c r="S49" s="7">
        <f t="shared" si="34"/>
        <v>0</v>
      </c>
      <c r="T49" s="7">
        <f t="shared" si="35"/>
        <v>2777.2355769230776</v>
      </c>
      <c r="U49" s="7">
        <f t="shared" si="36"/>
        <v>15274.795673076926</v>
      </c>
      <c r="V49" s="7">
        <f t="shared" si="37"/>
        <v>50915.985576923093</v>
      </c>
      <c r="X49" s="7">
        <f t="shared" si="38"/>
        <v>68968.016826923093</v>
      </c>
    </row>
    <row r="50" spans="3:24" x14ac:dyDescent="0.2">
      <c r="C50" s="57" t="s">
        <v>148</v>
      </c>
      <c r="D50" s="31"/>
      <c r="E50" s="31"/>
      <c r="F50" s="18">
        <f t="shared" ref="F50:Q50" si="42">SUM(F46:F49)</f>
        <v>0</v>
      </c>
      <c r="G50" s="18">
        <f t="shared" si="42"/>
        <v>462.87259615384625</v>
      </c>
      <c r="H50" s="18">
        <f t="shared" si="42"/>
        <v>462.87259615384625</v>
      </c>
      <c r="I50" s="18">
        <f t="shared" si="42"/>
        <v>32709.663461538468</v>
      </c>
      <c r="J50" s="18">
        <f t="shared" si="42"/>
        <v>64956.454326923093</v>
      </c>
      <c r="K50" s="18">
        <f t="shared" si="42"/>
        <v>96277.500000000015</v>
      </c>
      <c r="L50" s="18">
        <f t="shared" si="42"/>
        <v>192555.00000000003</v>
      </c>
      <c r="M50" s="18">
        <f t="shared" si="42"/>
        <v>349160.22836538468</v>
      </c>
      <c r="N50" s="18">
        <f t="shared" si="42"/>
        <v>506691.20192307699</v>
      </c>
      <c r="O50" s="18">
        <f t="shared" si="42"/>
        <v>819901.65865384624</v>
      </c>
      <c r="P50" s="18">
        <f t="shared" si="42"/>
        <v>1134037.8605769232</v>
      </c>
      <c r="Q50" s="18">
        <f t="shared" si="42"/>
        <v>1509890.4086538462</v>
      </c>
      <c r="R50" s="17"/>
      <c r="S50" s="18">
        <f>SUM(S46:S49)</f>
        <v>925.74519230769249</v>
      </c>
      <c r="T50" s="18">
        <f>SUM(T46:T49)</f>
        <v>193943.61778846156</v>
      </c>
      <c r="U50" s="18">
        <f>SUM(U46:U49)</f>
        <v>1048406.4302884617</v>
      </c>
      <c r="V50" s="18">
        <f>SUM(V46:V49)</f>
        <v>3463829.927884616</v>
      </c>
      <c r="W50" s="17"/>
      <c r="X50" s="18">
        <f>SUM(S50:V50)</f>
        <v>4707105.7211538469</v>
      </c>
    </row>
    <row r="52" spans="3:24" ht="15" thickBot="1" x14ac:dyDescent="0.25">
      <c r="C52" s="12" t="s">
        <v>149</v>
      </c>
      <c r="D52" s="32"/>
      <c r="E52" s="32"/>
      <c r="F52" s="90">
        <f t="shared" ref="F52:Q52" si="43">F44+F50</f>
        <v>0</v>
      </c>
      <c r="G52" s="90">
        <f t="shared" si="43"/>
        <v>462.87259615384625</v>
      </c>
      <c r="H52" s="90">
        <f t="shared" si="43"/>
        <v>462.87259615384625</v>
      </c>
      <c r="I52" s="90">
        <f t="shared" si="43"/>
        <v>32709.663461538468</v>
      </c>
      <c r="J52" s="90">
        <f t="shared" si="43"/>
        <v>64956.454326923093</v>
      </c>
      <c r="K52" s="90">
        <f t="shared" si="43"/>
        <v>96740.372596153858</v>
      </c>
      <c r="L52" s="90">
        <f t="shared" si="43"/>
        <v>192555.00000000003</v>
      </c>
      <c r="M52" s="90">
        <f t="shared" si="43"/>
        <v>349623.10096153856</v>
      </c>
      <c r="N52" s="90">
        <f t="shared" si="43"/>
        <v>538012.24759615387</v>
      </c>
      <c r="O52" s="90">
        <f t="shared" si="43"/>
        <v>851685.57692307699</v>
      </c>
      <c r="P52" s="90">
        <f t="shared" si="43"/>
        <v>1196679.951923077</v>
      </c>
      <c r="Q52" s="90">
        <f t="shared" si="43"/>
        <v>1572995.372596154</v>
      </c>
      <c r="R52" s="7"/>
      <c r="S52" s="90">
        <f>S44+S50</f>
        <v>925.74519230769249</v>
      </c>
      <c r="T52" s="90">
        <f>T44+T50</f>
        <v>194406.4903846154</v>
      </c>
      <c r="U52" s="90">
        <f>U44+U50</f>
        <v>1080190.3485576925</v>
      </c>
      <c r="V52" s="90">
        <f>V44+V50</f>
        <v>3621360.9014423084</v>
      </c>
      <c r="W52" s="7"/>
      <c r="X52" s="90">
        <f>X44+X50</f>
        <v>4896883.4855769239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B4BF-8C8D-415F-B5BD-661FDE1F02A5}">
  <sheetPr>
    <tabColor theme="1" tint="0.499984740745262"/>
  </sheetPr>
  <dimension ref="C2:X37"/>
  <sheetViews>
    <sheetView showGridLines="0" workbookViewId="0">
      <pane ySplit="5" topLeftCell="A6" activePane="bottomLeft" state="frozen"/>
      <selection pane="bottomLeft" activeCell="AA8" sqref="AA8"/>
    </sheetView>
  </sheetViews>
  <sheetFormatPr baseColWidth="10" defaultColWidth="8.83203125" defaultRowHeight="14" x14ac:dyDescent="0.2"/>
  <cols>
    <col min="1" max="2" width="3.6640625" style="1" customWidth="1"/>
    <col min="3" max="3" width="36" style="1" bestFit="1" customWidth="1"/>
    <col min="4" max="4" width="20.6640625" style="1" customWidth="1"/>
    <col min="5" max="16" width="10.6640625" style="1" customWidth="1"/>
    <col min="17" max="17" width="3.6640625" style="1" customWidth="1"/>
    <col min="18" max="21" width="10.6640625" style="1" customWidth="1"/>
    <col min="22" max="22" width="3.6640625" style="1" customWidth="1"/>
    <col min="23" max="23" width="10.6640625" style="1" customWidth="1"/>
    <col min="24" max="25" width="3.6640625" style="1" customWidth="1"/>
    <col min="26" max="16384" width="8.83203125" style="1"/>
  </cols>
  <sheetData>
    <row r="2" spans="3:23" x14ac:dyDescent="0.2">
      <c r="C2" s="27" t="s">
        <v>0</v>
      </c>
      <c r="D2" s="27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3:23" x14ac:dyDescent="0.2">
      <c r="C3" s="14" t="s">
        <v>150</v>
      </c>
      <c r="D3" s="14"/>
    </row>
    <row r="4" spans="3:23" ht="6" customHeight="1" x14ac:dyDescent="0.2"/>
    <row r="5" spans="3:23" ht="14" customHeight="1" thickBot="1" x14ac:dyDescent="0.25">
      <c r="C5" s="6" t="s">
        <v>151</v>
      </c>
      <c r="D5" s="6" t="s">
        <v>152</v>
      </c>
      <c r="E5" s="11">
        <v>46023</v>
      </c>
      <c r="F5" s="11">
        <f>EOMONTH(E5,0)+1</f>
        <v>46054</v>
      </c>
      <c r="G5" s="11">
        <f t="shared" ref="G5:P5" si="0">EOMONTH(F5,0)+1</f>
        <v>46082</v>
      </c>
      <c r="H5" s="11">
        <f t="shared" si="0"/>
        <v>46113</v>
      </c>
      <c r="I5" s="11">
        <f t="shared" si="0"/>
        <v>46143</v>
      </c>
      <c r="J5" s="11">
        <f t="shared" si="0"/>
        <v>46174</v>
      </c>
      <c r="K5" s="11">
        <f t="shared" si="0"/>
        <v>46204</v>
      </c>
      <c r="L5" s="11">
        <f t="shared" si="0"/>
        <v>46235</v>
      </c>
      <c r="M5" s="11">
        <f t="shared" si="0"/>
        <v>46266</v>
      </c>
      <c r="N5" s="11">
        <f t="shared" si="0"/>
        <v>46296</v>
      </c>
      <c r="O5" s="11">
        <f t="shared" si="0"/>
        <v>46327</v>
      </c>
      <c r="P5" s="11">
        <f t="shared" si="0"/>
        <v>46357</v>
      </c>
      <c r="R5" s="20" t="s">
        <v>3</v>
      </c>
      <c r="S5" s="20" t="s">
        <v>4</v>
      </c>
      <c r="T5" s="20" t="s">
        <v>5</v>
      </c>
      <c r="U5" s="20" t="s">
        <v>6</v>
      </c>
      <c r="W5" s="20" t="s">
        <v>7</v>
      </c>
    </row>
    <row r="6" spans="3:23" ht="6" customHeight="1" x14ac:dyDescent="0.2"/>
    <row r="7" spans="3:23" x14ac:dyDescent="0.2">
      <c r="C7" s="28" t="s">
        <v>153</v>
      </c>
      <c r="D7" s="28" t="s">
        <v>154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R7" s="7">
        <f t="shared" ref="R7" si="1">SUM(E7:G7)</f>
        <v>0</v>
      </c>
      <c r="S7" s="7">
        <f t="shared" ref="S7" si="2">SUM(H7:J7)</f>
        <v>0</v>
      </c>
      <c r="T7" s="7">
        <f t="shared" ref="T7" si="3">SUM(K7:M7)</f>
        <v>0</v>
      </c>
      <c r="U7" s="7">
        <f t="shared" ref="U7" si="4">SUM(N7:P7)</f>
        <v>0</v>
      </c>
      <c r="W7" s="7">
        <f t="shared" ref="W7" si="5">SUM(R7:U7)</f>
        <v>0</v>
      </c>
    </row>
    <row r="8" spans="3:23" x14ac:dyDescent="0.2">
      <c r="C8" s="17" t="s">
        <v>155</v>
      </c>
      <c r="D8" s="17"/>
      <c r="E8" s="18">
        <f t="shared" ref="E8:P8" si="6">SUM(E7:E7)</f>
        <v>0</v>
      </c>
      <c r="F8" s="18">
        <f t="shared" si="6"/>
        <v>0</v>
      </c>
      <c r="G8" s="18">
        <f t="shared" si="6"/>
        <v>0</v>
      </c>
      <c r="H8" s="18">
        <f t="shared" si="6"/>
        <v>0</v>
      </c>
      <c r="I8" s="18">
        <f t="shared" si="6"/>
        <v>0</v>
      </c>
      <c r="J8" s="18">
        <f t="shared" si="6"/>
        <v>0</v>
      </c>
      <c r="K8" s="18">
        <f t="shared" si="6"/>
        <v>0</v>
      </c>
      <c r="L8" s="18">
        <f t="shared" si="6"/>
        <v>0</v>
      </c>
      <c r="M8" s="18">
        <f t="shared" si="6"/>
        <v>0</v>
      </c>
      <c r="N8" s="18">
        <f t="shared" si="6"/>
        <v>0</v>
      </c>
      <c r="O8" s="18">
        <f t="shared" si="6"/>
        <v>0</v>
      </c>
      <c r="P8" s="18">
        <f t="shared" si="6"/>
        <v>0</v>
      </c>
      <c r="R8" s="18">
        <f>SUM(R7:R7)</f>
        <v>0</v>
      </c>
      <c r="S8" s="18">
        <f>SUM(S7:S7)</f>
        <v>0</v>
      </c>
      <c r="T8" s="18">
        <f>SUM(T7:T7)</f>
        <v>0</v>
      </c>
      <c r="U8" s="18">
        <f>SUM(U7:U7)</f>
        <v>0</v>
      </c>
      <c r="W8" s="18">
        <f>SUM(W7:W7)</f>
        <v>0</v>
      </c>
    </row>
    <row r="9" spans="3:23" ht="6" customHeight="1" x14ac:dyDescent="0.2">
      <c r="E9" s="2"/>
    </row>
    <row r="10" spans="3:23" x14ac:dyDescent="0.2">
      <c r="C10" s="12" t="s">
        <v>156</v>
      </c>
      <c r="D10" s="62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R10" s="7"/>
      <c r="S10" s="7"/>
      <c r="T10" s="7"/>
      <c r="U10" s="7"/>
      <c r="W10" s="7"/>
    </row>
    <row r="11" spans="3:23" x14ac:dyDescent="0.2">
      <c r="C11" s="19" t="s">
        <v>157</v>
      </c>
      <c r="D11" s="62"/>
      <c r="E11" s="94">
        <v>0.6</v>
      </c>
      <c r="F11" s="94">
        <v>0.6</v>
      </c>
      <c r="G11" s="94">
        <v>0.6</v>
      </c>
      <c r="H11" s="94">
        <v>0.6</v>
      </c>
      <c r="I11" s="94">
        <v>0.6</v>
      </c>
      <c r="J11" s="94">
        <v>0.6</v>
      </c>
      <c r="K11" s="94">
        <v>0.6</v>
      </c>
      <c r="L11" s="94">
        <v>0.6</v>
      </c>
      <c r="M11" s="94">
        <v>0.6</v>
      </c>
      <c r="N11" s="94">
        <v>0.6</v>
      </c>
      <c r="O11" s="94">
        <v>0.6</v>
      </c>
      <c r="P11" s="94">
        <v>0.6</v>
      </c>
      <c r="R11" s="73">
        <f t="shared" ref="R11:R16" si="7">AVERAGE(E11:G11)</f>
        <v>0.6</v>
      </c>
      <c r="S11" s="73">
        <f t="shared" ref="S11:S16" si="8">AVERAGE(H11:J11)</f>
        <v>0.6</v>
      </c>
      <c r="T11" s="73">
        <f t="shared" ref="T11:T16" si="9">AVERAGE(K11:M11)</f>
        <v>0.6</v>
      </c>
      <c r="U11" s="73">
        <f t="shared" ref="U11:U16" si="10">AVERAGE(N11:P11)</f>
        <v>0.6</v>
      </c>
      <c r="W11" s="73">
        <f t="shared" ref="W11:W16" si="11">AVERAGE(R11:U11)</f>
        <v>0.6</v>
      </c>
    </row>
    <row r="12" spans="3:23" x14ac:dyDescent="0.2">
      <c r="C12" s="19" t="s">
        <v>158</v>
      </c>
      <c r="D12" s="62"/>
      <c r="E12" s="94">
        <v>0.3</v>
      </c>
      <c r="F12" s="94">
        <v>0.3</v>
      </c>
      <c r="G12" s="94">
        <v>0.3</v>
      </c>
      <c r="H12" s="94">
        <v>0.3</v>
      </c>
      <c r="I12" s="94">
        <v>0.3</v>
      </c>
      <c r="J12" s="94">
        <v>0.3</v>
      </c>
      <c r="K12" s="94">
        <v>0.3</v>
      </c>
      <c r="L12" s="94">
        <v>0.3</v>
      </c>
      <c r="M12" s="94">
        <v>0.3</v>
      </c>
      <c r="N12" s="94">
        <v>0.3</v>
      </c>
      <c r="O12" s="94">
        <v>0.3</v>
      </c>
      <c r="P12" s="94">
        <v>0.3</v>
      </c>
      <c r="R12" s="73">
        <f t="shared" si="7"/>
        <v>0.3</v>
      </c>
      <c r="S12" s="73">
        <f t="shared" si="8"/>
        <v>0.3</v>
      </c>
      <c r="T12" s="73">
        <f t="shared" si="9"/>
        <v>0.3</v>
      </c>
      <c r="U12" s="73">
        <f t="shared" si="10"/>
        <v>0.3</v>
      </c>
      <c r="W12" s="73">
        <f t="shared" si="11"/>
        <v>0.3</v>
      </c>
    </row>
    <row r="13" spans="3:23" x14ac:dyDescent="0.2">
      <c r="C13" s="19" t="s">
        <v>159</v>
      </c>
      <c r="D13" s="62"/>
      <c r="E13" s="94">
        <v>0.1</v>
      </c>
      <c r="F13" s="94">
        <v>0.1</v>
      </c>
      <c r="G13" s="94">
        <v>0.1</v>
      </c>
      <c r="H13" s="94">
        <v>0.1</v>
      </c>
      <c r="I13" s="94">
        <v>0.1</v>
      </c>
      <c r="J13" s="94">
        <v>0.1</v>
      </c>
      <c r="K13" s="94">
        <v>0.1</v>
      </c>
      <c r="L13" s="94">
        <v>0.1</v>
      </c>
      <c r="M13" s="94">
        <v>0.1</v>
      </c>
      <c r="N13" s="94">
        <v>0.1</v>
      </c>
      <c r="O13" s="94">
        <v>0.1</v>
      </c>
      <c r="P13" s="94">
        <v>0.1</v>
      </c>
      <c r="R13" s="73">
        <f t="shared" si="7"/>
        <v>0.10000000000000002</v>
      </c>
      <c r="S13" s="73">
        <f t="shared" si="8"/>
        <v>0.10000000000000002</v>
      </c>
      <c r="T13" s="73">
        <f t="shared" si="9"/>
        <v>0.10000000000000002</v>
      </c>
      <c r="U13" s="73">
        <f t="shared" si="10"/>
        <v>0.10000000000000002</v>
      </c>
      <c r="W13" s="73">
        <f t="shared" si="11"/>
        <v>0.10000000000000002</v>
      </c>
    </row>
    <row r="14" spans="3:23" x14ac:dyDescent="0.2">
      <c r="C14" s="19" t="s">
        <v>11</v>
      </c>
      <c r="D14" s="62"/>
      <c r="E14" s="94">
        <v>0</v>
      </c>
      <c r="F14" s="94">
        <v>0</v>
      </c>
      <c r="G14" s="94">
        <v>0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R14" s="73">
        <f t="shared" si="7"/>
        <v>0</v>
      </c>
      <c r="S14" s="73">
        <f t="shared" si="8"/>
        <v>0</v>
      </c>
      <c r="T14" s="73">
        <f t="shared" si="9"/>
        <v>0</v>
      </c>
      <c r="U14" s="73">
        <f t="shared" si="10"/>
        <v>0</v>
      </c>
      <c r="W14" s="73">
        <f t="shared" si="11"/>
        <v>0</v>
      </c>
    </row>
    <row r="15" spans="3:23" x14ac:dyDescent="0.2">
      <c r="C15" s="19" t="s">
        <v>12</v>
      </c>
      <c r="D15" s="62"/>
      <c r="E15" s="94">
        <v>0</v>
      </c>
      <c r="F15" s="94">
        <v>0</v>
      </c>
      <c r="G15" s="94">
        <v>0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R15" s="73">
        <f t="shared" si="7"/>
        <v>0</v>
      </c>
      <c r="S15" s="73">
        <f t="shared" si="8"/>
        <v>0</v>
      </c>
      <c r="T15" s="73">
        <f t="shared" si="9"/>
        <v>0</v>
      </c>
      <c r="U15" s="73">
        <f t="shared" si="10"/>
        <v>0</v>
      </c>
      <c r="W15" s="73">
        <f t="shared" si="11"/>
        <v>0</v>
      </c>
    </row>
    <row r="16" spans="3:23" x14ac:dyDescent="0.2">
      <c r="C16" s="19" t="s">
        <v>13</v>
      </c>
      <c r="D16" s="62"/>
      <c r="E16" s="95">
        <v>0</v>
      </c>
      <c r="F16" s="95">
        <v>0</v>
      </c>
      <c r="G16" s="95">
        <v>0</v>
      </c>
      <c r="H16" s="95">
        <v>0</v>
      </c>
      <c r="I16" s="95">
        <v>0</v>
      </c>
      <c r="J16" s="95">
        <v>0</v>
      </c>
      <c r="K16" s="95">
        <v>0</v>
      </c>
      <c r="L16" s="95">
        <v>0</v>
      </c>
      <c r="M16" s="95">
        <v>0</v>
      </c>
      <c r="N16" s="95">
        <v>0</v>
      </c>
      <c r="O16" s="95">
        <v>0</v>
      </c>
      <c r="P16" s="95">
        <v>0</v>
      </c>
      <c r="R16" s="73">
        <f t="shared" si="7"/>
        <v>0</v>
      </c>
      <c r="S16" s="73">
        <f t="shared" si="8"/>
        <v>0</v>
      </c>
      <c r="T16" s="73">
        <f t="shared" si="9"/>
        <v>0</v>
      </c>
      <c r="U16" s="73">
        <f t="shared" si="10"/>
        <v>0</v>
      </c>
      <c r="W16" s="73">
        <f t="shared" si="11"/>
        <v>0</v>
      </c>
    </row>
    <row r="17" spans="3:24" x14ac:dyDescent="0.2">
      <c r="C17" s="57" t="s">
        <v>160</v>
      </c>
      <c r="D17" s="62"/>
      <c r="E17" s="63">
        <f>SUM(E11:E16)</f>
        <v>0.99999999999999989</v>
      </c>
      <c r="F17" s="63">
        <f t="shared" ref="F17:W17" si="12">SUM(F11:F16)</f>
        <v>0.99999999999999989</v>
      </c>
      <c r="G17" s="63">
        <f t="shared" si="12"/>
        <v>0.99999999999999989</v>
      </c>
      <c r="H17" s="63">
        <f t="shared" si="12"/>
        <v>0.99999999999999989</v>
      </c>
      <c r="I17" s="63">
        <f t="shared" si="12"/>
        <v>0.99999999999999989</v>
      </c>
      <c r="J17" s="63">
        <f t="shared" si="12"/>
        <v>0.99999999999999989</v>
      </c>
      <c r="K17" s="63">
        <f t="shared" si="12"/>
        <v>0.99999999999999989</v>
      </c>
      <c r="L17" s="63">
        <f t="shared" si="12"/>
        <v>0.99999999999999989</v>
      </c>
      <c r="M17" s="63">
        <f t="shared" si="12"/>
        <v>0.99999999999999989</v>
      </c>
      <c r="N17" s="63">
        <f t="shared" si="12"/>
        <v>0.99999999999999989</v>
      </c>
      <c r="O17" s="63">
        <f t="shared" si="12"/>
        <v>0.99999999999999989</v>
      </c>
      <c r="P17" s="63">
        <f t="shared" si="12"/>
        <v>0.99999999999999989</v>
      </c>
      <c r="R17" s="63">
        <f t="shared" si="12"/>
        <v>0.99999999999999989</v>
      </c>
      <c r="S17" s="63">
        <f t="shared" si="12"/>
        <v>0.99999999999999989</v>
      </c>
      <c r="T17" s="63">
        <f t="shared" si="12"/>
        <v>0.99999999999999989</v>
      </c>
      <c r="U17" s="63">
        <f t="shared" si="12"/>
        <v>0.99999999999999989</v>
      </c>
      <c r="W17" s="63">
        <f t="shared" si="12"/>
        <v>0.99999999999999989</v>
      </c>
    </row>
    <row r="18" spans="3:24" ht="6" customHeight="1" x14ac:dyDescent="0.2">
      <c r="E18" s="2"/>
    </row>
    <row r="19" spans="3:24" x14ac:dyDescent="0.2">
      <c r="C19" s="28" t="s">
        <v>161</v>
      </c>
      <c r="D19" s="62"/>
      <c r="E19" s="94">
        <v>0.5</v>
      </c>
      <c r="F19" s="94">
        <v>0.5</v>
      </c>
      <c r="G19" s="94">
        <v>0.5</v>
      </c>
      <c r="H19" s="94">
        <v>0.5</v>
      </c>
      <c r="I19" s="94">
        <v>0.5</v>
      </c>
      <c r="J19" s="94">
        <v>0.5</v>
      </c>
      <c r="K19" s="94">
        <v>0.5</v>
      </c>
      <c r="L19" s="94">
        <v>0.5</v>
      </c>
      <c r="M19" s="94">
        <v>0.5</v>
      </c>
      <c r="N19" s="94">
        <v>0.5</v>
      </c>
      <c r="O19" s="94">
        <v>0.5</v>
      </c>
      <c r="P19" s="94">
        <v>0.5</v>
      </c>
      <c r="R19" s="73">
        <f>AVERAGE(E19:G19)</f>
        <v>0.5</v>
      </c>
      <c r="S19" s="73">
        <f>AVERAGE(H19:J19)</f>
        <v>0.5</v>
      </c>
      <c r="T19" s="73">
        <f>AVERAGE(K19:M19)</f>
        <v>0.5</v>
      </c>
      <c r="U19" s="73">
        <f>AVERAGE(N19:P19)</f>
        <v>0.5</v>
      </c>
      <c r="W19" s="73">
        <f>AVERAGE(R19:U19)</f>
        <v>0.5</v>
      </c>
    </row>
    <row r="20" spans="3:24" x14ac:dyDescent="0.2">
      <c r="C20" s="28" t="s">
        <v>162</v>
      </c>
      <c r="D20" s="62"/>
      <c r="E20" s="94">
        <v>0.5</v>
      </c>
      <c r="F20" s="94">
        <v>0.5</v>
      </c>
      <c r="G20" s="94">
        <v>0.5</v>
      </c>
      <c r="H20" s="94">
        <v>0.5</v>
      </c>
      <c r="I20" s="94">
        <v>0.5</v>
      </c>
      <c r="J20" s="94">
        <v>0.5</v>
      </c>
      <c r="K20" s="94">
        <v>0.5</v>
      </c>
      <c r="L20" s="94">
        <v>0.5</v>
      </c>
      <c r="M20" s="94">
        <v>0.5</v>
      </c>
      <c r="N20" s="94">
        <v>0.5</v>
      </c>
      <c r="O20" s="94">
        <v>0.5</v>
      </c>
      <c r="P20" s="94">
        <v>0.5</v>
      </c>
      <c r="R20" s="73">
        <f>AVERAGE(E20:G20)</f>
        <v>0.5</v>
      </c>
      <c r="S20" s="73">
        <f>AVERAGE(H20:J20)</f>
        <v>0.5</v>
      </c>
      <c r="T20" s="73">
        <f>AVERAGE(K20:M20)</f>
        <v>0.5</v>
      </c>
      <c r="U20" s="73">
        <f>AVERAGE(N20:P20)</f>
        <v>0.5</v>
      </c>
      <c r="W20" s="73">
        <f>AVERAGE(R20:U20)</f>
        <v>0.5</v>
      </c>
    </row>
    <row r="21" spans="3:24" ht="6" customHeight="1" x14ac:dyDescent="0.2">
      <c r="E21" s="2"/>
    </row>
    <row r="22" spans="3:24" x14ac:dyDescent="0.2">
      <c r="C22" s="12" t="s">
        <v>150</v>
      </c>
      <c r="D22" s="32"/>
      <c r="E22" s="43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S22" s="7"/>
      <c r="T22" s="7"/>
      <c r="U22" s="7"/>
      <c r="V22" s="7"/>
      <c r="X22" s="7"/>
    </row>
    <row r="23" spans="3:24" x14ac:dyDescent="0.2">
      <c r="C23" s="83" t="s">
        <v>76</v>
      </c>
      <c r="D23" s="32"/>
      <c r="E23" s="43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S23" s="7"/>
      <c r="T23" s="7"/>
      <c r="U23" s="7"/>
      <c r="V23" s="7"/>
      <c r="X23" s="7"/>
    </row>
    <row r="24" spans="3:24" x14ac:dyDescent="0.2">
      <c r="C24" s="84" t="s">
        <v>10</v>
      </c>
      <c r="D24" s="62"/>
      <c r="E24" s="7">
        <f t="shared" ref="E24:P24" si="13">E$8*E13*E$19</f>
        <v>0</v>
      </c>
      <c r="F24" s="7">
        <f t="shared" si="13"/>
        <v>0</v>
      </c>
      <c r="G24" s="7">
        <f t="shared" si="13"/>
        <v>0</v>
      </c>
      <c r="H24" s="7">
        <f t="shared" si="13"/>
        <v>0</v>
      </c>
      <c r="I24" s="7">
        <f t="shared" si="13"/>
        <v>0</v>
      </c>
      <c r="J24" s="7">
        <f t="shared" si="13"/>
        <v>0</v>
      </c>
      <c r="K24" s="7">
        <f t="shared" si="13"/>
        <v>0</v>
      </c>
      <c r="L24" s="7">
        <f t="shared" si="13"/>
        <v>0</v>
      </c>
      <c r="M24" s="7">
        <f t="shared" si="13"/>
        <v>0</v>
      </c>
      <c r="N24" s="7">
        <f t="shared" si="13"/>
        <v>0</v>
      </c>
      <c r="O24" s="7">
        <f t="shared" si="13"/>
        <v>0</v>
      </c>
      <c r="P24" s="7">
        <f t="shared" si="13"/>
        <v>0</v>
      </c>
      <c r="R24" s="7">
        <f t="shared" ref="R24:R27" si="14">SUM(E24:G24)</f>
        <v>0</v>
      </c>
      <c r="S24" s="7">
        <f t="shared" ref="S24:S27" si="15">SUM(H24:J24)</f>
        <v>0</v>
      </c>
      <c r="T24" s="7">
        <f t="shared" ref="T24:T27" si="16">SUM(K24:M24)</f>
        <v>0</v>
      </c>
      <c r="U24" s="7">
        <f t="shared" ref="U24:U27" si="17">SUM(N24:P24)</f>
        <v>0</v>
      </c>
      <c r="W24" s="7">
        <f t="shared" ref="W24:W27" si="18">SUM(R24:U24)</f>
        <v>0</v>
      </c>
    </row>
    <row r="25" spans="3:24" x14ac:dyDescent="0.2">
      <c r="C25" s="84" t="s">
        <v>11</v>
      </c>
      <c r="D25" s="62"/>
      <c r="E25" s="7">
        <f t="shared" ref="E25:P25" si="19">E$8*E14*E$19</f>
        <v>0</v>
      </c>
      <c r="F25" s="7">
        <f t="shared" si="19"/>
        <v>0</v>
      </c>
      <c r="G25" s="7">
        <f t="shared" si="19"/>
        <v>0</v>
      </c>
      <c r="H25" s="7">
        <f t="shared" si="19"/>
        <v>0</v>
      </c>
      <c r="I25" s="7">
        <f t="shared" si="19"/>
        <v>0</v>
      </c>
      <c r="J25" s="7">
        <f t="shared" si="19"/>
        <v>0</v>
      </c>
      <c r="K25" s="7">
        <f t="shared" si="19"/>
        <v>0</v>
      </c>
      <c r="L25" s="7">
        <f t="shared" si="19"/>
        <v>0</v>
      </c>
      <c r="M25" s="7">
        <f t="shared" si="19"/>
        <v>0</v>
      </c>
      <c r="N25" s="7">
        <f t="shared" si="19"/>
        <v>0</v>
      </c>
      <c r="O25" s="7">
        <f t="shared" si="19"/>
        <v>0</v>
      </c>
      <c r="P25" s="7">
        <f t="shared" si="19"/>
        <v>0</v>
      </c>
      <c r="R25" s="7">
        <f t="shared" si="14"/>
        <v>0</v>
      </c>
      <c r="S25" s="7">
        <f t="shared" si="15"/>
        <v>0</v>
      </c>
      <c r="T25" s="7">
        <f t="shared" si="16"/>
        <v>0</v>
      </c>
      <c r="U25" s="7">
        <f t="shared" si="17"/>
        <v>0</v>
      </c>
      <c r="W25" s="7">
        <f t="shared" si="18"/>
        <v>0</v>
      </c>
    </row>
    <row r="26" spans="3:24" x14ac:dyDescent="0.2">
      <c r="C26" s="84" t="s">
        <v>12</v>
      </c>
      <c r="D26" s="62"/>
      <c r="E26" s="7">
        <f t="shared" ref="E26:P26" si="20">E$8*E15*E$19</f>
        <v>0</v>
      </c>
      <c r="F26" s="7">
        <f t="shared" si="20"/>
        <v>0</v>
      </c>
      <c r="G26" s="7">
        <f t="shared" si="20"/>
        <v>0</v>
      </c>
      <c r="H26" s="7">
        <f t="shared" si="20"/>
        <v>0</v>
      </c>
      <c r="I26" s="7">
        <f t="shared" si="20"/>
        <v>0</v>
      </c>
      <c r="J26" s="7">
        <f t="shared" si="20"/>
        <v>0</v>
      </c>
      <c r="K26" s="7">
        <f t="shared" si="20"/>
        <v>0</v>
      </c>
      <c r="L26" s="7">
        <f t="shared" si="20"/>
        <v>0</v>
      </c>
      <c r="M26" s="7">
        <f t="shared" si="20"/>
        <v>0</v>
      </c>
      <c r="N26" s="7">
        <f t="shared" si="20"/>
        <v>0</v>
      </c>
      <c r="O26" s="7">
        <f t="shared" si="20"/>
        <v>0</v>
      </c>
      <c r="P26" s="7">
        <f t="shared" si="20"/>
        <v>0</v>
      </c>
      <c r="R26" s="7">
        <f t="shared" si="14"/>
        <v>0</v>
      </c>
      <c r="S26" s="7">
        <f t="shared" si="15"/>
        <v>0</v>
      </c>
      <c r="T26" s="7">
        <f t="shared" si="16"/>
        <v>0</v>
      </c>
      <c r="U26" s="7">
        <f t="shared" si="17"/>
        <v>0</v>
      </c>
      <c r="W26" s="7">
        <f t="shared" si="18"/>
        <v>0</v>
      </c>
    </row>
    <row r="27" spans="3:24" x14ac:dyDescent="0.2">
      <c r="C27" s="84" t="s">
        <v>13</v>
      </c>
      <c r="D27" s="62"/>
      <c r="E27" s="7">
        <f t="shared" ref="E27:P27" si="21">E$8*E16*E$19</f>
        <v>0</v>
      </c>
      <c r="F27" s="7">
        <f t="shared" si="21"/>
        <v>0</v>
      </c>
      <c r="G27" s="7">
        <f t="shared" si="21"/>
        <v>0</v>
      </c>
      <c r="H27" s="7">
        <f t="shared" si="21"/>
        <v>0</v>
      </c>
      <c r="I27" s="7">
        <f t="shared" si="21"/>
        <v>0</v>
      </c>
      <c r="J27" s="7">
        <f t="shared" si="21"/>
        <v>0</v>
      </c>
      <c r="K27" s="7">
        <f t="shared" si="21"/>
        <v>0</v>
      </c>
      <c r="L27" s="7">
        <f t="shared" si="21"/>
        <v>0</v>
      </c>
      <c r="M27" s="7">
        <f t="shared" si="21"/>
        <v>0</v>
      </c>
      <c r="N27" s="7">
        <f t="shared" si="21"/>
        <v>0</v>
      </c>
      <c r="O27" s="7">
        <f t="shared" si="21"/>
        <v>0</v>
      </c>
      <c r="P27" s="7">
        <f t="shared" si="21"/>
        <v>0</v>
      </c>
      <c r="R27" s="7">
        <f t="shared" si="14"/>
        <v>0</v>
      </c>
      <c r="S27" s="7">
        <f t="shared" si="15"/>
        <v>0</v>
      </c>
      <c r="T27" s="7">
        <f t="shared" si="16"/>
        <v>0</v>
      </c>
      <c r="U27" s="7">
        <f t="shared" si="17"/>
        <v>0</v>
      </c>
      <c r="W27" s="7">
        <f t="shared" si="18"/>
        <v>0</v>
      </c>
    </row>
    <row r="28" spans="3:24" x14ac:dyDescent="0.2">
      <c r="C28" s="57" t="s">
        <v>163</v>
      </c>
      <c r="D28" s="31"/>
      <c r="E28" s="18">
        <f t="shared" ref="E28:P28" si="22">SUM(E24:E27)</f>
        <v>0</v>
      </c>
      <c r="F28" s="18">
        <f t="shared" si="22"/>
        <v>0</v>
      </c>
      <c r="G28" s="18">
        <f t="shared" si="22"/>
        <v>0</v>
      </c>
      <c r="H28" s="18">
        <f t="shared" si="22"/>
        <v>0</v>
      </c>
      <c r="I28" s="18">
        <f t="shared" si="22"/>
        <v>0</v>
      </c>
      <c r="J28" s="18">
        <f t="shared" si="22"/>
        <v>0</v>
      </c>
      <c r="K28" s="18">
        <f t="shared" si="22"/>
        <v>0</v>
      </c>
      <c r="L28" s="18">
        <f t="shared" si="22"/>
        <v>0</v>
      </c>
      <c r="M28" s="18">
        <f t="shared" si="22"/>
        <v>0</v>
      </c>
      <c r="N28" s="18">
        <f t="shared" si="22"/>
        <v>0</v>
      </c>
      <c r="O28" s="18">
        <f t="shared" si="22"/>
        <v>0</v>
      </c>
      <c r="P28" s="18">
        <f t="shared" si="22"/>
        <v>0</v>
      </c>
      <c r="Q28" s="17"/>
      <c r="R28" s="18">
        <f>SUM(R24:R27)</f>
        <v>0</v>
      </c>
      <c r="S28" s="18">
        <f>SUM(S24:S27)</f>
        <v>0</v>
      </c>
      <c r="T28" s="18">
        <f>SUM(T24:T27)</f>
        <v>0</v>
      </c>
      <c r="U28" s="18">
        <f>SUM(U24:U27)</f>
        <v>0</v>
      </c>
      <c r="V28" s="17"/>
      <c r="W28" s="18">
        <f>SUM(W24:W27)</f>
        <v>0</v>
      </c>
    </row>
    <row r="29" spans="3:24" x14ac:dyDescent="0.2">
      <c r="C29" s="83" t="s">
        <v>80</v>
      </c>
      <c r="D29" s="32"/>
      <c r="E29" s="43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S29" s="7"/>
      <c r="T29" s="7"/>
      <c r="U29" s="7"/>
      <c r="V29" s="7"/>
      <c r="X29" s="7"/>
    </row>
    <row r="30" spans="3:24" x14ac:dyDescent="0.2">
      <c r="C30" s="84" t="s">
        <v>10</v>
      </c>
      <c r="D30" s="62"/>
      <c r="E30" s="7">
        <f t="shared" ref="E30:P30" si="23">E$8*E13*E$20</f>
        <v>0</v>
      </c>
      <c r="F30" s="7">
        <f t="shared" si="23"/>
        <v>0</v>
      </c>
      <c r="G30" s="7">
        <f t="shared" si="23"/>
        <v>0</v>
      </c>
      <c r="H30" s="7">
        <f t="shared" si="23"/>
        <v>0</v>
      </c>
      <c r="I30" s="7">
        <f t="shared" si="23"/>
        <v>0</v>
      </c>
      <c r="J30" s="7">
        <f t="shared" si="23"/>
        <v>0</v>
      </c>
      <c r="K30" s="7">
        <f t="shared" si="23"/>
        <v>0</v>
      </c>
      <c r="L30" s="7">
        <f t="shared" si="23"/>
        <v>0</v>
      </c>
      <c r="M30" s="7">
        <f t="shared" si="23"/>
        <v>0</v>
      </c>
      <c r="N30" s="7">
        <f t="shared" si="23"/>
        <v>0</v>
      </c>
      <c r="O30" s="7">
        <f t="shared" si="23"/>
        <v>0</v>
      </c>
      <c r="P30" s="7">
        <f t="shared" si="23"/>
        <v>0</v>
      </c>
      <c r="R30" s="7">
        <f t="shared" ref="R30:R33" si="24">SUM(E30:G30)</f>
        <v>0</v>
      </c>
      <c r="S30" s="7">
        <f t="shared" ref="S30:S33" si="25">SUM(H30:J30)</f>
        <v>0</v>
      </c>
      <c r="T30" s="7">
        <f t="shared" ref="T30:T33" si="26">SUM(K30:M30)</f>
        <v>0</v>
      </c>
      <c r="U30" s="7">
        <f t="shared" ref="U30:U33" si="27">SUM(N30:P30)</f>
        <v>0</v>
      </c>
      <c r="W30" s="7">
        <f t="shared" ref="W30:W33" si="28">SUM(R30:U30)</f>
        <v>0</v>
      </c>
    </row>
    <row r="31" spans="3:24" x14ac:dyDescent="0.2">
      <c r="C31" s="84" t="s">
        <v>11</v>
      </c>
      <c r="D31" s="62"/>
      <c r="E31" s="7">
        <f t="shared" ref="E31:P31" si="29">E$8*E14*E$20</f>
        <v>0</v>
      </c>
      <c r="F31" s="7">
        <f t="shared" si="29"/>
        <v>0</v>
      </c>
      <c r="G31" s="7">
        <f t="shared" si="29"/>
        <v>0</v>
      </c>
      <c r="H31" s="7">
        <f t="shared" si="29"/>
        <v>0</v>
      </c>
      <c r="I31" s="7">
        <f t="shared" si="29"/>
        <v>0</v>
      </c>
      <c r="J31" s="7">
        <f t="shared" si="29"/>
        <v>0</v>
      </c>
      <c r="K31" s="7">
        <f t="shared" si="29"/>
        <v>0</v>
      </c>
      <c r="L31" s="7">
        <f t="shared" si="29"/>
        <v>0</v>
      </c>
      <c r="M31" s="7">
        <f t="shared" si="29"/>
        <v>0</v>
      </c>
      <c r="N31" s="7">
        <f t="shared" si="29"/>
        <v>0</v>
      </c>
      <c r="O31" s="7">
        <f t="shared" si="29"/>
        <v>0</v>
      </c>
      <c r="P31" s="7">
        <f t="shared" si="29"/>
        <v>0</v>
      </c>
      <c r="R31" s="7">
        <f t="shared" si="24"/>
        <v>0</v>
      </c>
      <c r="S31" s="7">
        <f t="shared" si="25"/>
        <v>0</v>
      </c>
      <c r="T31" s="7">
        <f t="shared" si="26"/>
        <v>0</v>
      </c>
      <c r="U31" s="7">
        <f t="shared" si="27"/>
        <v>0</v>
      </c>
      <c r="W31" s="7">
        <f t="shared" si="28"/>
        <v>0</v>
      </c>
    </row>
    <row r="32" spans="3:24" x14ac:dyDescent="0.2">
      <c r="C32" s="84" t="s">
        <v>12</v>
      </c>
      <c r="D32" s="62"/>
      <c r="E32" s="7">
        <f t="shared" ref="E32:P32" si="30">E$8*E15*E$20</f>
        <v>0</v>
      </c>
      <c r="F32" s="7">
        <f t="shared" si="30"/>
        <v>0</v>
      </c>
      <c r="G32" s="7">
        <f t="shared" si="30"/>
        <v>0</v>
      </c>
      <c r="H32" s="7">
        <f t="shared" si="30"/>
        <v>0</v>
      </c>
      <c r="I32" s="7">
        <f t="shared" si="30"/>
        <v>0</v>
      </c>
      <c r="J32" s="7">
        <f t="shared" si="30"/>
        <v>0</v>
      </c>
      <c r="K32" s="7">
        <f t="shared" si="30"/>
        <v>0</v>
      </c>
      <c r="L32" s="7">
        <f t="shared" si="30"/>
        <v>0</v>
      </c>
      <c r="M32" s="7">
        <f t="shared" si="30"/>
        <v>0</v>
      </c>
      <c r="N32" s="7">
        <f t="shared" si="30"/>
        <v>0</v>
      </c>
      <c r="O32" s="7">
        <f t="shared" si="30"/>
        <v>0</v>
      </c>
      <c r="P32" s="7">
        <f t="shared" si="30"/>
        <v>0</v>
      </c>
      <c r="R32" s="7">
        <f t="shared" si="24"/>
        <v>0</v>
      </c>
      <c r="S32" s="7">
        <f t="shared" si="25"/>
        <v>0</v>
      </c>
      <c r="T32" s="7">
        <f t="shared" si="26"/>
        <v>0</v>
      </c>
      <c r="U32" s="7">
        <f t="shared" si="27"/>
        <v>0</v>
      </c>
      <c r="W32" s="7">
        <f t="shared" si="28"/>
        <v>0</v>
      </c>
    </row>
    <row r="33" spans="3:23" x14ac:dyDescent="0.2">
      <c r="C33" s="84" t="s">
        <v>13</v>
      </c>
      <c r="D33" s="62"/>
      <c r="E33" s="7">
        <f t="shared" ref="E33:P33" si="31">E$8*E16*E$20</f>
        <v>0</v>
      </c>
      <c r="F33" s="7">
        <f t="shared" si="31"/>
        <v>0</v>
      </c>
      <c r="G33" s="7">
        <f t="shared" si="31"/>
        <v>0</v>
      </c>
      <c r="H33" s="7">
        <f t="shared" si="31"/>
        <v>0</v>
      </c>
      <c r="I33" s="7">
        <f t="shared" si="31"/>
        <v>0</v>
      </c>
      <c r="J33" s="7">
        <f t="shared" si="31"/>
        <v>0</v>
      </c>
      <c r="K33" s="7">
        <f t="shared" si="31"/>
        <v>0</v>
      </c>
      <c r="L33" s="7">
        <f t="shared" si="31"/>
        <v>0</v>
      </c>
      <c r="M33" s="7">
        <f t="shared" si="31"/>
        <v>0</v>
      </c>
      <c r="N33" s="7">
        <f t="shared" si="31"/>
        <v>0</v>
      </c>
      <c r="O33" s="7">
        <f t="shared" si="31"/>
        <v>0</v>
      </c>
      <c r="P33" s="7">
        <f t="shared" si="31"/>
        <v>0</v>
      </c>
      <c r="R33" s="7">
        <f t="shared" si="24"/>
        <v>0</v>
      </c>
      <c r="S33" s="7">
        <f t="shared" si="25"/>
        <v>0</v>
      </c>
      <c r="T33" s="7">
        <f t="shared" si="26"/>
        <v>0</v>
      </c>
      <c r="U33" s="7">
        <f t="shared" si="27"/>
        <v>0</v>
      </c>
      <c r="W33" s="7">
        <f t="shared" si="28"/>
        <v>0</v>
      </c>
    </row>
    <row r="34" spans="3:23" x14ac:dyDescent="0.2">
      <c r="C34" s="57" t="s">
        <v>164</v>
      </c>
      <c r="D34" s="31"/>
      <c r="E34" s="18">
        <f t="shared" ref="E34:P34" si="32">SUM(E30:E33)</f>
        <v>0</v>
      </c>
      <c r="F34" s="18">
        <f t="shared" si="32"/>
        <v>0</v>
      </c>
      <c r="G34" s="18">
        <f t="shared" si="32"/>
        <v>0</v>
      </c>
      <c r="H34" s="18">
        <f t="shared" si="32"/>
        <v>0</v>
      </c>
      <c r="I34" s="18">
        <f t="shared" si="32"/>
        <v>0</v>
      </c>
      <c r="J34" s="18">
        <f t="shared" si="32"/>
        <v>0</v>
      </c>
      <c r="K34" s="18">
        <f t="shared" si="32"/>
        <v>0</v>
      </c>
      <c r="L34" s="18">
        <f t="shared" si="32"/>
        <v>0</v>
      </c>
      <c r="M34" s="18">
        <f t="shared" si="32"/>
        <v>0</v>
      </c>
      <c r="N34" s="18">
        <f t="shared" si="32"/>
        <v>0</v>
      </c>
      <c r="O34" s="18">
        <f t="shared" si="32"/>
        <v>0</v>
      </c>
      <c r="P34" s="18">
        <f t="shared" si="32"/>
        <v>0</v>
      </c>
      <c r="Q34" s="17"/>
      <c r="R34" s="18">
        <f>SUM(R30:R33)</f>
        <v>0</v>
      </c>
      <c r="S34" s="18">
        <f>SUM(S30:S33)</f>
        <v>0</v>
      </c>
      <c r="T34" s="18">
        <f>SUM(T30:T33)</f>
        <v>0</v>
      </c>
      <c r="U34" s="18">
        <f>SUM(U30:U33)</f>
        <v>0</v>
      </c>
      <c r="V34" s="17"/>
      <c r="W34" s="18">
        <f>SUM(W30:W33)</f>
        <v>0</v>
      </c>
    </row>
    <row r="35" spans="3:23" x14ac:dyDescent="0.2">
      <c r="C35" s="17"/>
      <c r="D35" s="31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17"/>
      <c r="R35" s="89"/>
      <c r="S35" s="89"/>
      <c r="T35" s="89"/>
      <c r="U35" s="89"/>
      <c r="V35" s="17"/>
      <c r="W35" s="89"/>
    </row>
    <row r="36" spans="3:23" ht="15" thickBot="1" x14ac:dyDescent="0.25">
      <c r="C36" s="12" t="s">
        <v>155</v>
      </c>
      <c r="D36" s="31"/>
      <c r="E36" s="25">
        <f t="shared" ref="E36:P36" si="33">E28+E34</f>
        <v>0</v>
      </c>
      <c r="F36" s="25">
        <f t="shared" si="33"/>
        <v>0</v>
      </c>
      <c r="G36" s="25">
        <f t="shared" si="33"/>
        <v>0</v>
      </c>
      <c r="H36" s="25">
        <f t="shared" si="33"/>
        <v>0</v>
      </c>
      <c r="I36" s="25">
        <f t="shared" si="33"/>
        <v>0</v>
      </c>
      <c r="J36" s="25">
        <f t="shared" si="33"/>
        <v>0</v>
      </c>
      <c r="K36" s="25">
        <f t="shared" si="33"/>
        <v>0</v>
      </c>
      <c r="L36" s="25">
        <f t="shared" si="33"/>
        <v>0</v>
      </c>
      <c r="M36" s="25">
        <f t="shared" si="33"/>
        <v>0</v>
      </c>
      <c r="N36" s="25">
        <f t="shared" si="33"/>
        <v>0</v>
      </c>
      <c r="O36" s="25">
        <f t="shared" si="33"/>
        <v>0</v>
      </c>
      <c r="P36" s="25">
        <f t="shared" si="33"/>
        <v>0</v>
      </c>
      <c r="Q36" s="17"/>
      <c r="R36" s="25">
        <f>R28+R34</f>
        <v>0</v>
      </c>
      <c r="S36" s="25">
        <f>S28+S34</f>
        <v>0</v>
      </c>
      <c r="T36" s="25">
        <f>T28+T34</f>
        <v>0</v>
      </c>
      <c r="U36" s="25">
        <f>U28+U34</f>
        <v>0</v>
      </c>
      <c r="V36" s="17"/>
      <c r="W36" s="25">
        <f>W28+W34</f>
        <v>0</v>
      </c>
    </row>
    <row r="37" spans="3:23" s="60" customFormat="1" ht="13" x14ac:dyDescent="0.2">
      <c r="C37" s="60" t="s">
        <v>165</v>
      </c>
      <c r="E37" s="61">
        <f t="shared" ref="E37:P37" si="34">E8-E28-E34</f>
        <v>0</v>
      </c>
      <c r="F37" s="61">
        <f t="shared" si="34"/>
        <v>0</v>
      </c>
      <c r="G37" s="61">
        <f t="shared" si="34"/>
        <v>0</v>
      </c>
      <c r="H37" s="61">
        <f t="shared" si="34"/>
        <v>0</v>
      </c>
      <c r="I37" s="61">
        <f t="shared" si="34"/>
        <v>0</v>
      </c>
      <c r="J37" s="61">
        <f t="shared" si="34"/>
        <v>0</v>
      </c>
      <c r="K37" s="61">
        <f t="shared" si="34"/>
        <v>0</v>
      </c>
      <c r="L37" s="61">
        <f t="shared" si="34"/>
        <v>0</v>
      </c>
      <c r="M37" s="61">
        <f t="shared" si="34"/>
        <v>0</v>
      </c>
      <c r="N37" s="61">
        <f t="shared" si="34"/>
        <v>0</v>
      </c>
      <c r="O37" s="61">
        <f t="shared" si="34"/>
        <v>0</v>
      </c>
      <c r="P37" s="61">
        <f t="shared" si="34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A0FF-5A0D-4335-BCBF-93D648C8AB49}">
  <sheetPr>
    <tabColor theme="1" tint="0.499984740745262"/>
  </sheetPr>
  <dimension ref="C2:X36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baseColWidth="10" defaultColWidth="8.83203125" defaultRowHeight="14" x14ac:dyDescent="0.2"/>
  <cols>
    <col min="1" max="2" width="3.6640625" style="1" customWidth="1"/>
    <col min="3" max="3" width="36" style="1" bestFit="1" customWidth="1"/>
    <col min="4" max="4" width="13.5" style="1" customWidth="1"/>
    <col min="5" max="5" width="15.33203125" style="2" bestFit="1" customWidth="1"/>
    <col min="6" max="17" width="10.6640625" style="1" customWidth="1"/>
    <col min="18" max="18" width="3.6640625" style="1" customWidth="1"/>
    <col min="19" max="22" width="10.6640625" style="1" customWidth="1"/>
    <col min="23" max="23" width="3.6640625" style="1" customWidth="1"/>
    <col min="24" max="24" width="10.6640625" style="1" customWidth="1"/>
    <col min="25" max="26" width="3.6640625" style="1" customWidth="1"/>
    <col min="27" max="16384" width="8.83203125" style="1"/>
  </cols>
  <sheetData>
    <row r="2" spans="3:24" x14ac:dyDescent="0.2">
      <c r="C2" s="27" t="s">
        <v>0</v>
      </c>
      <c r="D2" s="27"/>
      <c r="E2" s="29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3:24" x14ac:dyDescent="0.2">
      <c r="C3" s="14" t="s">
        <v>166</v>
      </c>
      <c r="D3" s="14"/>
      <c r="E3" s="30"/>
    </row>
    <row r="4" spans="3:24" ht="6" customHeight="1" x14ac:dyDescent="0.2"/>
    <row r="5" spans="3:24" ht="14" customHeight="1" thickBot="1" x14ac:dyDescent="0.25">
      <c r="C5" s="6"/>
      <c r="D5" s="5" t="s">
        <v>72</v>
      </c>
      <c r="E5" s="37" t="s">
        <v>90</v>
      </c>
      <c r="F5" s="11">
        <v>46023</v>
      </c>
      <c r="G5" s="11">
        <f>EOMONTH(F5,0)+1</f>
        <v>46054</v>
      </c>
      <c r="H5" s="11">
        <f t="shared" ref="H5:Q5" si="0">EOMONTH(G5,0)+1</f>
        <v>46082</v>
      </c>
      <c r="I5" s="11">
        <f t="shared" si="0"/>
        <v>46113</v>
      </c>
      <c r="J5" s="11">
        <f t="shared" si="0"/>
        <v>46143</v>
      </c>
      <c r="K5" s="11">
        <f t="shared" si="0"/>
        <v>46174</v>
      </c>
      <c r="L5" s="11">
        <f t="shared" si="0"/>
        <v>46204</v>
      </c>
      <c r="M5" s="11">
        <f t="shared" si="0"/>
        <v>46235</v>
      </c>
      <c r="N5" s="11">
        <f t="shared" si="0"/>
        <v>46266</v>
      </c>
      <c r="O5" s="11">
        <f t="shared" si="0"/>
        <v>46296</v>
      </c>
      <c r="P5" s="11">
        <f t="shared" si="0"/>
        <v>46327</v>
      </c>
      <c r="Q5" s="11">
        <f t="shared" si="0"/>
        <v>46357</v>
      </c>
      <c r="S5" s="20" t="s">
        <v>3</v>
      </c>
      <c r="T5" s="20" t="s">
        <v>4</v>
      </c>
      <c r="U5" s="20" t="s">
        <v>5</v>
      </c>
      <c r="V5" s="20" t="s">
        <v>6</v>
      </c>
      <c r="X5" s="20" t="s">
        <v>7</v>
      </c>
    </row>
    <row r="6" spans="3:24" ht="6" customHeight="1" x14ac:dyDescent="0.2"/>
    <row r="7" spans="3:24" x14ac:dyDescent="0.2">
      <c r="C7" s="1" t="s">
        <v>167</v>
      </c>
      <c r="D7" s="91">
        <v>0.05</v>
      </c>
      <c r="E7" s="28" t="s">
        <v>168</v>
      </c>
      <c r="F7" s="64">
        <v>3500</v>
      </c>
      <c r="G7" s="55">
        <f>F7*(1+$D7*'Sales Forecast'!E8)</f>
        <v>3675</v>
      </c>
      <c r="H7" s="55">
        <f>G7*(1+$D7*'Sales Forecast'!F8)</f>
        <v>3858.75</v>
      </c>
      <c r="I7" s="55">
        <f>H7*(1+$D7*'Sales Forecast'!G8)</f>
        <v>4437.5625</v>
      </c>
      <c r="J7" s="55">
        <f>I7*(1+$D7*'Sales Forecast'!H8)</f>
        <v>5546.953125</v>
      </c>
      <c r="K7" s="55">
        <f>J7*(1+$D7*'Sales Forecast'!I8)</f>
        <v>6933.69140625</v>
      </c>
      <c r="L7" s="55">
        <f>K7*(1+$D7*'Sales Forecast'!J8)</f>
        <v>10400.537109375</v>
      </c>
      <c r="M7" s="55">
        <f>L7*(1+$D7*'Sales Forecast'!K8)</f>
        <v>15600.8056640625</v>
      </c>
      <c r="N7" s="55">
        <f>M7*(1+$D7*'Sales Forecast'!L8)</f>
        <v>24961.2890625</v>
      </c>
      <c r="O7" s="55">
        <f>N7*(1+$D7*'Sales Forecast'!M8)</f>
        <v>39938.0625</v>
      </c>
      <c r="P7" s="55">
        <f>O7*(1+$D7*'Sales Forecast'!N8)</f>
        <v>67894.706250000003</v>
      </c>
      <c r="Q7" s="55">
        <f>P7*(1+$D7*'Sales Forecast'!O8)</f>
        <v>115421.00062500002</v>
      </c>
      <c r="S7" s="7">
        <f>SUM(F7:H7)</f>
        <v>11033.75</v>
      </c>
      <c r="T7" s="7">
        <f>SUM(I7:K7)</f>
        <v>16918.20703125</v>
      </c>
      <c r="U7" s="7">
        <f>SUM(L7:N7)</f>
        <v>50962.6318359375</v>
      </c>
      <c r="V7" s="7">
        <f>SUM(O7:Q7)</f>
        <v>223253.76937500003</v>
      </c>
      <c r="X7" s="7">
        <f>SUM(S7:V7)</f>
        <v>302168.35824218753</v>
      </c>
    </row>
    <row r="8" spans="3:24" x14ac:dyDescent="0.2">
      <c r="C8" s="1" t="s">
        <v>169</v>
      </c>
      <c r="D8" s="91">
        <v>0</v>
      </c>
      <c r="E8" s="28" t="s">
        <v>170</v>
      </c>
      <c r="F8" s="64">
        <v>0</v>
      </c>
      <c r="G8" s="96">
        <v>0</v>
      </c>
      <c r="H8" s="96">
        <f t="shared" ref="H8:Q8" si="1">G8*(1+$D8)</f>
        <v>0</v>
      </c>
      <c r="I8" s="96">
        <f t="shared" si="1"/>
        <v>0</v>
      </c>
      <c r="J8" s="96">
        <f t="shared" si="1"/>
        <v>0</v>
      </c>
      <c r="K8" s="96">
        <f t="shared" si="1"/>
        <v>0</v>
      </c>
      <c r="L8" s="96">
        <f t="shared" si="1"/>
        <v>0</v>
      </c>
      <c r="M8" s="96">
        <f t="shared" si="1"/>
        <v>0</v>
      </c>
      <c r="N8" s="96">
        <f t="shared" si="1"/>
        <v>0</v>
      </c>
      <c r="O8" s="96">
        <f t="shared" si="1"/>
        <v>0</v>
      </c>
      <c r="P8" s="96">
        <f t="shared" si="1"/>
        <v>0</v>
      </c>
      <c r="Q8" s="96">
        <f t="shared" si="1"/>
        <v>0</v>
      </c>
      <c r="S8" s="7">
        <f>SUM(F8:H8)</f>
        <v>0</v>
      </c>
      <c r="T8" s="7">
        <f>SUM(I8:K8)</f>
        <v>0</v>
      </c>
      <c r="U8" s="7">
        <f>SUM(L8:N8)</f>
        <v>0</v>
      </c>
      <c r="V8" s="7">
        <f>SUM(O8:Q8)</f>
        <v>0</v>
      </c>
      <c r="X8" s="7">
        <f>SUM(S8:V8)</f>
        <v>0</v>
      </c>
    </row>
    <row r="9" spans="3:24" x14ac:dyDescent="0.2">
      <c r="C9" s="17" t="s">
        <v>171</v>
      </c>
      <c r="D9" s="31"/>
      <c r="E9" s="31"/>
      <c r="F9" s="18">
        <f t="shared" ref="F9:Q9" si="2">SUM(F7:F8)</f>
        <v>3500</v>
      </c>
      <c r="G9" s="18">
        <f t="shared" si="2"/>
        <v>3675</v>
      </c>
      <c r="H9" s="18">
        <f t="shared" si="2"/>
        <v>3858.75</v>
      </c>
      <c r="I9" s="18">
        <f t="shared" si="2"/>
        <v>4437.5625</v>
      </c>
      <c r="J9" s="18">
        <f t="shared" si="2"/>
        <v>5546.953125</v>
      </c>
      <c r="K9" s="18">
        <f t="shared" si="2"/>
        <v>6933.69140625</v>
      </c>
      <c r="L9" s="18">
        <f t="shared" si="2"/>
        <v>10400.537109375</v>
      </c>
      <c r="M9" s="18">
        <f t="shared" si="2"/>
        <v>15600.8056640625</v>
      </c>
      <c r="N9" s="18">
        <f t="shared" si="2"/>
        <v>24961.2890625</v>
      </c>
      <c r="O9" s="18">
        <f t="shared" si="2"/>
        <v>39938.0625</v>
      </c>
      <c r="P9" s="18">
        <f t="shared" si="2"/>
        <v>67894.706250000003</v>
      </c>
      <c r="Q9" s="18">
        <f t="shared" si="2"/>
        <v>115421.00062500002</v>
      </c>
      <c r="R9" s="17"/>
      <c r="S9" s="18">
        <f>SUM(S7:S8)</f>
        <v>11033.75</v>
      </c>
      <c r="T9" s="18">
        <f>SUM(T7:T8)</f>
        <v>16918.20703125</v>
      </c>
      <c r="U9" s="18">
        <f>SUM(U7:U8)</f>
        <v>50962.6318359375</v>
      </c>
      <c r="V9" s="18">
        <f>SUM(V7:V8)</f>
        <v>223253.76937500003</v>
      </c>
      <c r="W9" s="17"/>
      <c r="X9" s="18">
        <f>SUM(X7:X8)</f>
        <v>302168.35824218753</v>
      </c>
    </row>
    <row r="10" spans="3:24" ht="6" customHeight="1" x14ac:dyDescent="0.2"/>
    <row r="11" spans="3:24" x14ac:dyDescent="0.2">
      <c r="C11" s="17" t="s">
        <v>172</v>
      </c>
      <c r="D11" s="30" t="s">
        <v>76</v>
      </c>
      <c r="E11" s="30" t="s">
        <v>80</v>
      </c>
    </row>
    <row r="12" spans="3:24" x14ac:dyDescent="0.2">
      <c r="C12" s="19" t="str">
        <f>C7</f>
        <v>Azure Commercial Cloud</v>
      </c>
      <c r="D12" s="91">
        <v>0.3</v>
      </c>
      <c r="E12" s="91">
        <v>0.7</v>
      </c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73"/>
      <c r="S12" s="73"/>
      <c r="T12" s="73"/>
      <c r="U12" s="73"/>
      <c r="V12" s="73"/>
      <c r="W12" s="73"/>
      <c r="X12" s="73"/>
    </row>
    <row r="13" spans="3:24" x14ac:dyDescent="0.2">
      <c r="C13" s="19" t="str">
        <f t="shared" ref="C13" si="3">C8</f>
        <v>AWS Commercial Cloud</v>
      </c>
      <c r="D13" s="91">
        <v>0</v>
      </c>
      <c r="E13" s="91">
        <v>0</v>
      </c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73"/>
      <c r="S13" s="73"/>
      <c r="T13" s="73"/>
      <c r="U13" s="73"/>
      <c r="V13" s="73"/>
      <c r="W13" s="73"/>
      <c r="X13" s="73"/>
    </row>
    <row r="14" spans="3:24" ht="6" customHeight="1" x14ac:dyDescent="0.2"/>
    <row r="15" spans="3:24" x14ac:dyDescent="0.2">
      <c r="C15" s="12" t="s">
        <v>161</v>
      </c>
      <c r="D15" s="99"/>
      <c r="E15" s="31"/>
      <c r="F15" s="100">
        <f t="shared" ref="F15:Q15" si="4">SUMPRODUCT(F$7:F$8,$D$12:$D$13)/SUM(F$7:F$8)</f>
        <v>0.3</v>
      </c>
      <c r="G15" s="100">
        <f t="shared" si="4"/>
        <v>0.3</v>
      </c>
      <c r="H15" s="100">
        <f t="shared" si="4"/>
        <v>0.3</v>
      </c>
      <c r="I15" s="100">
        <f t="shared" si="4"/>
        <v>0.3</v>
      </c>
      <c r="J15" s="100">
        <f t="shared" si="4"/>
        <v>0.3</v>
      </c>
      <c r="K15" s="100">
        <f t="shared" si="4"/>
        <v>0.3</v>
      </c>
      <c r="L15" s="100">
        <f t="shared" si="4"/>
        <v>0.3</v>
      </c>
      <c r="M15" s="100">
        <f t="shared" si="4"/>
        <v>0.3</v>
      </c>
      <c r="N15" s="100">
        <f t="shared" si="4"/>
        <v>0.3</v>
      </c>
      <c r="O15" s="100">
        <f t="shared" si="4"/>
        <v>0.3</v>
      </c>
      <c r="P15" s="100">
        <f t="shared" si="4"/>
        <v>0.3</v>
      </c>
      <c r="Q15" s="100">
        <f t="shared" si="4"/>
        <v>0.3</v>
      </c>
      <c r="R15" s="101"/>
      <c r="S15" s="101">
        <f>AVERAGE(F15:H15)</f>
        <v>0.3</v>
      </c>
      <c r="T15" s="101">
        <f>AVERAGE(I15:K15)</f>
        <v>0.3</v>
      </c>
      <c r="U15" s="101">
        <f>AVERAGE(L15:N15)</f>
        <v>0.3</v>
      </c>
      <c r="V15" s="101">
        <f>AVERAGE(O15:Q15)</f>
        <v>0.3</v>
      </c>
      <c r="W15" s="101"/>
      <c r="X15" s="101">
        <f>AVERAGE(S15:V15)</f>
        <v>0.3</v>
      </c>
    </row>
    <row r="16" spans="3:24" x14ac:dyDescent="0.2">
      <c r="C16" s="12" t="s">
        <v>162</v>
      </c>
      <c r="D16" s="99"/>
      <c r="E16" s="31"/>
      <c r="F16" s="100">
        <f t="shared" ref="F16:Q16" si="5">SUMPRODUCT(F$7:F$8,$E$12:$E$13)/SUM(F$7:F$8)</f>
        <v>0.7</v>
      </c>
      <c r="G16" s="100">
        <f t="shared" si="5"/>
        <v>0.7</v>
      </c>
      <c r="H16" s="100">
        <f t="shared" si="5"/>
        <v>0.7</v>
      </c>
      <c r="I16" s="100">
        <f t="shared" si="5"/>
        <v>0.7</v>
      </c>
      <c r="J16" s="100">
        <f t="shared" si="5"/>
        <v>0.7</v>
      </c>
      <c r="K16" s="100">
        <f t="shared" si="5"/>
        <v>0.7</v>
      </c>
      <c r="L16" s="100">
        <f t="shared" si="5"/>
        <v>0.7</v>
      </c>
      <c r="M16" s="100">
        <f t="shared" si="5"/>
        <v>0.7</v>
      </c>
      <c r="N16" s="100">
        <f t="shared" si="5"/>
        <v>0.7</v>
      </c>
      <c r="O16" s="100">
        <f t="shared" si="5"/>
        <v>0.7</v>
      </c>
      <c r="P16" s="100">
        <f t="shared" si="5"/>
        <v>0.7</v>
      </c>
      <c r="Q16" s="100">
        <f t="shared" si="5"/>
        <v>0.7</v>
      </c>
      <c r="R16" s="101"/>
      <c r="S16" s="101">
        <f>AVERAGE(F16:H16)</f>
        <v>0.69999999999999984</v>
      </c>
      <c r="T16" s="101">
        <f>AVERAGE(I16:K16)</f>
        <v>0.69999999999999984</v>
      </c>
      <c r="U16" s="101">
        <f>AVERAGE(L16:N16)</f>
        <v>0.69999999999999984</v>
      </c>
      <c r="V16" s="101">
        <f>AVERAGE(O16:Q16)</f>
        <v>0.69999999999999984</v>
      </c>
      <c r="W16" s="101"/>
      <c r="X16" s="101">
        <f>AVERAGE(S16:V16)</f>
        <v>0.69999999999999984</v>
      </c>
    </row>
    <row r="17" spans="3:24" ht="6" customHeight="1" x14ac:dyDescent="0.2"/>
    <row r="18" spans="3:24" x14ac:dyDescent="0.2">
      <c r="C18" s="12" t="s">
        <v>166</v>
      </c>
      <c r="D18" s="32"/>
      <c r="E18" s="4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S18" s="7"/>
      <c r="T18" s="7"/>
      <c r="U18" s="7"/>
      <c r="V18" s="7"/>
      <c r="X18" s="7"/>
    </row>
    <row r="19" spans="3:24" x14ac:dyDescent="0.2">
      <c r="C19" s="83" t="s">
        <v>76</v>
      </c>
      <c r="D19" s="32"/>
      <c r="E19" s="4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S19" s="7"/>
      <c r="T19" s="7"/>
      <c r="U19" s="7"/>
      <c r="V19" s="7"/>
      <c r="X19" s="7"/>
    </row>
    <row r="20" spans="3:24" x14ac:dyDescent="0.2">
      <c r="C20" s="84" t="s">
        <v>157</v>
      </c>
      <c r="D20" s="91">
        <v>0.65</v>
      </c>
      <c r="E20" s="62"/>
      <c r="F20" s="7">
        <f t="shared" ref="F20:Q25" si="6">F$9*F$15*$D20</f>
        <v>682.5</v>
      </c>
      <c r="G20" s="7">
        <f t="shared" si="6"/>
        <v>716.625</v>
      </c>
      <c r="H20" s="7">
        <f t="shared" si="6"/>
        <v>752.45625000000007</v>
      </c>
      <c r="I20" s="7">
        <f t="shared" si="6"/>
        <v>865.32468749999998</v>
      </c>
      <c r="J20" s="7">
        <f t="shared" si="6"/>
        <v>1081.6558593750001</v>
      </c>
      <c r="K20" s="7">
        <f t="shared" si="6"/>
        <v>1352.06982421875</v>
      </c>
      <c r="L20" s="7">
        <f t="shared" si="6"/>
        <v>2028.104736328125</v>
      </c>
      <c r="M20" s="7">
        <f t="shared" si="6"/>
        <v>3042.1571044921875</v>
      </c>
      <c r="N20" s="7">
        <f t="shared" si="6"/>
        <v>4867.4513671875002</v>
      </c>
      <c r="O20" s="7">
        <f t="shared" si="6"/>
        <v>7787.9221874999994</v>
      </c>
      <c r="P20" s="7">
        <f t="shared" si="6"/>
        <v>13239.467718750002</v>
      </c>
      <c r="Q20" s="7">
        <f t="shared" si="6"/>
        <v>22507.095121875005</v>
      </c>
      <c r="S20" s="7">
        <f t="shared" ref="S20:S25" si="7">SUM(F20:H20)</f>
        <v>2151.5812500000002</v>
      </c>
      <c r="T20" s="7">
        <f t="shared" ref="T20:T25" si="8">SUM(I20:K20)</f>
        <v>3299.0503710937501</v>
      </c>
      <c r="U20" s="7">
        <f t="shared" ref="U20:U25" si="9">SUM(L20:N20)</f>
        <v>9937.7132080078118</v>
      </c>
      <c r="V20" s="7">
        <f t="shared" ref="V20:V25" si="10">SUM(O20:Q20)</f>
        <v>43534.485028125011</v>
      </c>
      <c r="X20" s="7">
        <f t="shared" ref="X20:X25" si="11">SUM(S20:V20)</f>
        <v>58922.829857226578</v>
      </c>
    </row>
    <row r="21" spans="3:24" x14ac:dyDescent="0.2">
      <c r="C21" s="84" t="s">
        <v>158</v>
      </c>
      <c r="D21" s="91">
        <v>0.25</v>
      </c>
      <c r="E21" s="62"/>
      <c r="F21" s="7">
        <f t="shared" si="6"/>
        <v>262.5</v>
      </c>
      <c r="G21" s="7">
        <f t="shared" si="6"/>
        <v>275.625</v>
      </c>
      <c r="H21" s="7">
        <f t="shared" si="6"/>
        <v>289.40625</v>
      </c>
      <c r="I21" s="7">
        <f t="shared" si="6"/>
        <v>332.81718749999999</v>
      </c>
      <c r="J21" s="7">
        <f t="shared" si="6"/>
        <v>416.021484375</v>
      </c>
      <c r="K21" s="7">
        <f t="shared" si="6"/>
        <v>520.02685546875</v>
      </c>
      <c r="L21" s="7">
        <f t="shared" si="6"/>
        <v>780.040283203125</v>
      </c>
      <c r="M21" s="7">
        <f t="shared" si="6"/>
        <v>1170.0604248046875</v>
      </c>
      <c r="N21" s="7">
        <f t="shared" si="6"/>
        <v>1872.0966796875</v>
      </c>
      <c r="O21" s="7">
        <f t="shared" si="6"/>
        <v>2995.3546874999997</v>
      </c>
      <c r="P21" s="7">
        <f t="shared" si="6"/>
        <v>5092.1029687500004</v>
      </c>
      <c r="Q21" s="7">
        <f t="shared" si="6"/>
        <v>8656.5750468750011</v>
      </c>
      <c r="S21" s="7">
        <f t="shared" si="7"/>
        <v>827.53125</v>
      </c>
      <c r="T21" s="7">
        <f t="shared" si="8"/>
        <v>1268.86552734375</v>
      </c>
      <c r="U21" s="7">
        <f t="shared" si="9"/>
        <v>3822.1973876953125</v>
      </c>
      <c r="V21" s="7">
        <f t="shared" si="10"/>
        <v>16744.032703125002</v>
      </c>
      <c r="X21" s="7">
        <f t="shared" si="11"/>
        <v>22662.626868164065</v>
      </c>
    </row>
    <row r="22" spans="3:24" x14ac:dyDescent="0.2">
      <c r="C22" s="84" t="s">
        <v>159</v>
      </c>
      <c r="D22" s="91">
        <v>0.1</v>
      </c>
      <c r="E22" s="62"/>
      <c r="F22" s="7">
        <f t="shared" si="6"/>
        <v>105</v>
      </c>
      <c r="G22" s="7">
        <f t="shared" si="6"/>
        <v>110.25</v>
      </c>
      <c r="H22" s="7">
        <f t="shared" si="6"/>
        <v>115.7625</v>
      </c>
      <c r="I22" s="7">
        <f t="shared" si="6"/>
        <v>133.12687500000001</v>
      </c>
      <c r="J22" s="7">
        <f t="shared" si="6"/>
        <v>166.40859375000002</v>
      </c>
      <c r="K22" s="7">
        <f t="shared" si="6"/>
        <v>208.0107421875</v>
      </c>
      <c r="L22" s="7">
        <f t="shared" si="6"/>
        <v>312.01611328125</v>
      </c>
      <c r="M22" s="7">
        <f t="shared" si="6"/>
        <v>468.024169921875</v>
      </c>
      <c r="N22" s="7">
        <f t="shared" si="6"/>
        <v>748.83867187500005</v>
      </c>
      <c r="O22" s="7">
        <f t="shared" si="6"/>
        <v>1198.141875</v>
      </c>
      <c r="P22" s="7">
        <f t="shared" si="6"/>
        <v>2036.8411875000002</v>
      </c>
      <c r="Q22" s="7">
        <f t="shared" si="6"/>
        <v>3462.6300187500005</v>
      </c>
      <c r="S22" s="7">
        <f t="shared" si="7"/>
        <v>331.01249999999999</v>
      </c>
      <c r="T22" s="7">
        <f t="shared" si="8"/>
        <v>507.54621093750006</v>
      </c>
      <c r="U22" s="7">
        <f t="shared" si="9"/>
        <v>1528.878955078125</v>
      </c>
      <c r="V22" s="7">
        <f t="shared" si="10"/>
        <v>6697.6130812500014</v>
      </c>
      <c r="X22" s="7">
        <f t="shared" si="11"/>
        <v>9065.0507472656263</v>
      </c>
    </row>
    <row r="23" spans="3:24" x14ac:dyDescent="0.2">
      <c r="C23" s="84" t="s">
        <v>11</v>
      </c>
      <c r="D23" s="91">
        <v>0</v>
      </c>
      <c r="E23" s="62"/>
      <c r="F23" s="7">
        <f t="shared" si="6"/>
        <v>0</v>
      </c>
      <c r="G23" s="7">
        <f t="shared" si="6"/>
        <v>0</v>
      </c>
      <c r="H23" s="7">
        <f t="shared" si="6"/>
        <v>0</v>
      </c>
      <c r="I23" s="7">
        <f t="shared" si="6"/>
        <v>0</v>
      </c>
      <c r="J23" s="7">
        <f t="shared" si="6"/>
        <v>0</v>
      </c>
      <c r="K23" s="7">
        <f t="shared" si="6"/>
        <v>0</v>
      </c>
      <c r="L23" s="7">
        <f t="shared" si="6"/>
        <v>0</v>
      </c>
      <c r="M23" s="7">
        <f t="shared" si="6"/>
        <v>0</v>
      </c>
      <c r="N23" s="7">
        <f t="shared" si="6"/>
        <v>0</v>
      </c>
      <c r="O23" s="7">
        <f t="shared" si="6"/>
        <v>0</v>
      </c>
      <c r="P23" s="7">
        <f t="shared" si="6"/>
        <v>0</v>
      </c>
      <c r="Q23" s="7">
        <f t="shared" si="6"/>
        <v>0</v>
      </c>
      <c r="S23" s="7">
        <f t="shared" si="7"/>
        <v>0</v>
      </c>
      <c r="T23" s="7">
        <f t="shared" si="8"/>
        <v>0</v>
      </c>
      <c r="U23" s="7">
        <f t="shared" si="9"/>
        <v>0</v>
      </c>
      <c r="V23" s="7">
        <f t="shared" si="10"/>
        <v>0</v>
      </c>
      <c r="X23" s="7">
        <f t="shared" si="11"/>
        <v>0</v>
      </c>
    </row>
    <row r="24" spans="3:24" x14ac:dyDescent="0.2">
      <c r="C24" s="84" t="s">
        <v>12</v>
      </c>
      <c r="D24" s="91">
        <v>0</v>
      </c>
      <c r="E24" s="62"/>
      <c r="F24" s="7">
        <f t="shared" si="6"/>
        <v>0</v>
      </c>
      <c r="G24" s="7">
        <f t="shared" si="6"/>
        <v>0</v>
      </c>
      <c r="H24" s="7">
        <f t="shared" si="6"/>
        <v>0</v>
      </c>
      <c r="I24" s="7">
        <f t="shared" si="6"/>
        <v>0</v>
      </c>
      <c r="J24" s="7">
        <f t="shared" si="6"/>
        <v>0</v>
      </c>
      <c r="K24" s="7">
        <f t="shared" si="6"/>
        <v>0</v>
      </c>
      <c r="L24" s="7">
        <f t="shared" si="6"/>
        <v>0</v>
      </c>
      <c r="M24" s="7">
        <f t="shared" si="6"/>
        <v>0</v>
      </c>
      <c r="N24" s="7">
        <f t="shared" si="6"/>
        <v>0</v>
      </c>
      <c r="O24" s="7">
        <f t="shared" si="6"/>
        <v>0</v>
      </c>
      <c r="P24" s="7">
        <f t="shared" si="6"/>
        <v>0</v>
      </c>
      <c r="Q24" s="7">
        <f t="shared" si="6"/>
        <v>0</v>
      </c>
      <c r="S24" s="7">
        <f t="shared" si="7"/>
        <v>0</v>
      </c>
      <c r="T24" s="7">
        <f t="shared" si="8"/>
        <v>0</v>
      </c>
      <c r="U24" s="7">
        <f t="shared" si="9"/>
        <v>0</v>
      </c>
      <c r="V24" s="7">
        <f t="shared" si="10"/>
        <v>0</v>
      </c>
      <c r="X24" s="7">
        <f t="shared" si="11"/>
        <v>0</v>
      </c>
    </row>
    <row r="25" spans="3:24" x14ac:dyDescent="0.2">
      <c r="C25" s="84" t="s">
        <v>13</v>
      </c>
      <c r="D25" s="91">
        <v>0</v>
      </c>
      <c r="E25" s="62"/>
      <c r="F25" s="7">
        <f t="shared" si="6"/>
        <v>0</v>
      </c>
      <c r="G25" s="7">
        <f t="shared" si="6"/>
        <v>0</v>
      </c>
      <c r="H25" s="7">
        <f t="shared" si="6"/>
        <v>0</v>
      </c>
      <c r="I25" s="7">
        <f t="shared" si="6"/>
        <v>0</v>
      </c>
      <c r="J25" s="7">
        <f t="shared" si="6"/>
        <v>0</v>
      </c>
      <c r="K25" s="7">
        <f t="shared" si="6"/>
        <v>0</v>
      </c>
      <c r="L25" s="7">
        <f t="shared" si="6"/>
        <v>0</v>
      </c>
      <c r="M25" s="7">
        <f t="shared" si="6"/>
        <v>0</v>
      </c>
      <c r="N25" s="7">
        <f t="shared" si="6"/>
        <v>0</v>
      </c>
      <c r="O25" s="7">
        <f t="shared" si="6"/>
        <v>0</v>
      </c>
      <c r="P25" s="7">
        <f t="shared" si="6"/>
        <v>0</v>
      </c>
      <c r="Q25" s="7">
        <f t="shared" si="6"/>
        <v>0</v>
      </c>
      <c r="S25" s="7">
        <f t="shared" si="7"/>
        <v>0</v>
      </c>
      <c r="T25" s="7">
        <f t="shared" si="8"/>
        <v>0</v>
      </c>
      <c r="U25" s="7">
        <f t="shared" si="9"/>
        <v>0</v>
      </c>
      <c r="V25" s="7">
        <f t="shared" si="10"/>
        <v>0</v>
      </c>
      <c r="X25" s="7">
        <f t="shared" si="11"/>
        <v>0</v>
      </c>
    </row>
    <row r="26" spans="3:24" x14ac:dyDescent="0.2">
      <c r="C26" s="57" t="s">
        <v>173</v>
      </c>
      <c r="D26" s="31"/>
      <c r="E26" s="31"/>
      <c r="F26" s="18">
        <f>SUM(F20:F25)</f>
        <v>1050</v>
      </c>
      <c r="G26" s="18">
        <f t="shared" ref="G26:X26" si="12">SUM(G20:G25)</f>
        <v>1102.5</v>
      </c>
      <c r="H26" s="18">
        <f t="shared" si="12"/>
        <v>1157.6250000000002</v>
      </c>
      <c r="I26" s="18">
        <f t="shared" si="12"/>
        <v>1331.26875</v>
      </c>
      <c r="J26" s="18">
        <f t="shared" si="12"/>
        <v>1664.0859375</v>
      </c>
      <c r="K26" s="18">
        <f t="shared" si="12"/>
        <v>2080.107421875</v>
      </c>
      <c r="L26" s="18">
        <f t="shared" si="12"/>
        <v>3120.1611328125</v>
      </c>
      <c r="M26" s="18">
        <f t="shared" si="12"/>
        <v>4680.24169921875</v>
      </c>
      <c r="N26" s="18">
        <f t="shared" si="12"/>
        <v>7488.38671875</v>
      </c>
      <c r="O26" s="18">
        <f t="shared" si="12"/>
        <v>11981.418749999999</v>
      </c>
      <c r="P26" s="18">
        <f t="shared" si="12"/>
        <v>20368.411875000005</v>
      </c>
      <c r="Q26" s="18">
        <f t="shared" si="12"/>
        <v>34626.300187500005</v>
      </c>
      <c r="R26" s="17"/>
      <c r="S26" s="18">
        <f t="shared" si="12"/>
        <v>3310.125</v>
      </c>
      <c r="T26" s="18">
        <f t="shared" si="12"/>
        <v>5075.4621093750002</v>
      </c>
      <c r="U26" s="18">
        <f t="shared" si="12"/>
        <v>15288.78955078125</v>
      </c>
      <c r="V26" s="18">
        <f t="shared" si="12"/>
        <v>66976.130812500021</v>
      </c>
      <c r="W26" s="17"/>
      <c r="X26" s="18">
        <f t="shared" si="12"/>
        <v>90650.507472656274</v>
      </c>
    </row>
    <row r="27" spans="3:24" x14ac:dyDescent="0.2">
      <c r="C27" s="83" t="s">
        <v>80</v>
      </c>
    </row>
    <row r="28" spans="3:24" x14ac:dyDescent="0.2">
      <c r="C28" s="84" t="s">
        <v>157</v>
      </c>
      <c r="D28" s="91">
        <v>0.65</v>
      </c>
      <c r="F28" s="7">
        <f t="shared" ref="F28:Q33" si="13">F$9*F$16*$D28</f>
        <v>1592.5</v>
      </c>
      <c r="G28" s="7">
        <f t="shared" si="13"/>
        <v>1672.125</v>
      </c>
      <c r="H28" s="7">
        <f t="shared" si="13"/>
        <v>1755.73125</v>
      </c>
      <c r="I28" s="7">
        <f t="shared" si="13"/>
        <v>2019.0909374999999</v>
      </c>
      <c r="J28" s="7">
        <f t="shared" si="13"/>
        <v>2523.8636718749999</v>
      </c>
      <c r="K28" s="7">
        <f t="shared" si="13"/>
        <v>3154.82958984375</v>
      </c>
      <c r="L28" s="7">
        <f t="shared" si="13"/>
        <v>4732.244384765625</v>
      </c>
      <c r="M28" s="7">
        <f t="shared" si="13"/>
        <v>7098.3665771484375</v>
      </c>
      <c r="N28" s="7">
        <f t="shared" si="13"/>
        <v>11357.386523437501</v>
      </c>
      <c r="O28" s="7">
        <f t="shared" si="13"/>
        <v>18171.818437500002</v>
      </c>
      <c r="P28" s="7">
        <f t="shared" si="13"/>
        <v>30892.091343749998</v>
      </c>
      <c r="Q28" s="7">
        <f t="shared" si="13"/>
        <v>52516.555284375012</v>
      </c>
      <c r="S28" s="7">
        <f t="shared" ref="S28:S33" si="14">SUM(F28:H28)</f>
        <v>5020.3562499999998</v>
      </c>
      <c r="T28" s="7">
        <f t="shared" ref="T28:T33" si="15">SUM(I28:K28)</f>
        <v>7697.7841992187496</v>
      </c>
      <c r="U28" s="7">
        <f t="shared" ref="U28:U33" si="16">SUM(L28:N28)</f>
        <v>23187.997485351563</v>
      </c>
      <c r="V28" s="7">
        <f t="shared" ref="V28:V33" si="17">SUM(O28:Q28)</f>
        <v>101580.465065625</v>
      </c>
      <c r="X28" s="7">
        <f t="shared" ref="X28:X33" si="18">SUM(S28:V28)</f>
        <v>137486.60300019532</v>
      </c>
    </row>
    <row r="29" spans="3:24" x14ac:dyDescent="0.2">
      <c r="C29" s="84" t="s">
        <v>158</v>
      </c>
      <c r="D29" s="91">
        <v>0.25</v>
      </c>
      <c r="F29" s="7">
        <f t="shared" si="13"/>
        <v>612.5</v>
      </c>
      <c r="G29" s="7">
        <f t="shared" si="13"/>
        <v>643.125</v>
      </c>
      <c r="H29" s="7">
        <f t="shared" si="13"/>
        <v>675.28125</v>
      </c>
      <c r="I29" s="7">
        <f t="shared" si="13"/>
        <v>776.57343749999995</v>
      </c>
      <c r="J29" s="7">
        <f t="shared" si="13"/>
        <v>970.71679687499989</v>
      </c>
      <c r="K29" s="7">
        <f t="shared" si="13"/>
        <v>1213.39599609375</v>
      </c>
      <c r="L29" s="7">
        <f t="shared" si="13"/>
        <v>1820.0939941406248</v>
      </c>
      <c r="M29" s="7">
        <f t="shared" si="13"/>
        <v>2730.1409912109375</v>
      </c>
      <c r="N29" s="7">
        <f t="shared" si="13"/>
        <v>4368.2255859375</v>
      </c>
      <c r="O29" s="7">
        <f t="shared" si="13"/>
        <v>6989.1609374999998</v>
      </c>
      <c r="P29" s="7">
        <f t="shared" si="13"/>
        <v>11881.573593749999</v>
      </c>
      <c r="Q29" s="7">
        <f t="shared" si="13"/>
        <v>20198.675109375003</v>
      </c>
      <c r="S29" s="7">
        <f t="shared" si="14"/>
        <v>1930.90625</v>
      </c>
      <c r="T29" s="7">
        <f t="shared" si="15"/>
        <v>2960.6862304687497</v>
      </c>
      <c r="U29" s="7">
        <f t="shared" si="16"/>
        <v>8918.4605712890625</v>
      </c>
      <c r="V29" s="7">
        <f t="shared" si="17"/>
        <v>39069.409640625003</v>
      </c>
      <c r="X29" s="7">
        <f t="shared" si="18"/>
        <v>52879.462692382818</v>
      </c>
    </row>
    <row r="30" spans="3:24" x14ac:dyDescent="0.2">
      <c r="C30" s="84" t="s">
        <v>159</v>
      </c>
      <c r="D30" s="91">
        <v>0.1</v>
      </c>
      <c r="F30" s="7">
        <f t="shared" si="13"/>
        <v>245</v>
      </c>
      <c r="G30" s="7">
        <f t="shared" si="13"/>
        <v>257.25</v>
      </c>
      <c r="H30" s="7">
        <f t="shared" si="13"/>
        <v>270.11250000000001</v>
      </c>
      <c r="I30" s="7">
        <f t="shared" si="13"/>
        <v>310.62937499999998</v>
      </c>
      <c r="J30" s="7">
        <f t="shared" si="13"/>
        <v>388.28671874999998</v>
      </c>
      <c r="K30" s="7">
        <f t="shared" si="13"/>
        <v>485.3583984375</v>
      </c>
      <c r="L30" s="7">
        <f t="shared" si="13"/>
        <v>728.03759765625</v>
      </c>
      <c r="M30" s="7">
        <f t="shared" si="13"/>
        <v>1092.056396484375</v>
      </c>
      <c r="N30" s="7">
        <f t="shared" si="13"/>
        <v>1747.2902343750002</v>
      </c>
      <c r="O30" s="7">
        <f t="shared" si="13"/>
        <v>2795.6643750000003</v>
      </c>
      <c r="P30" s="7">
        <f t="shared" si="13"/>
        <v>4752.6294374999998</v>
      </c>
      <c r="Q30" s="7">
        <f t="shared" si="13"/>
        <v>8079.4700437500014</v>
      </c>
      <c r="S30" s="7">
        <f t="shared" si="14"/>
        <v>772.36249999999995</v>
      </c>
      <c r="T30" s="7">
        <f t="shared" si="15"/>
        <v>1184.2744921875001</v>
      </c>
      <c r="U30" s="7">
        <f t="shared" si="16"/>
        <v>3567.3842285156252</v>
      </c>
      <c r="V30" s="7">
        <f t="shared" si="17"/>
        <v>15627.763856250001</v>
      </c>
      <c r="X30" s="7">
        <f t="shared" si="18"/>
        <v>21151.785076953129</v>
      </c>
    </row>
    <row r="31" spans="3:24" x14ac:dyDescent="0.2">
      <c r="C31" s="84" t="s">
        <v>11</v>
      </c>
      <c r="D31" s="91">
        <v>0</v>
      </c>
      <c r="F31" s="7">
        <f t="shared" si="13"/>
        <v>0</v>
      </c>
      <c r="G31" s="7">
        <f t="shared" si="13"/>
        <v>0</v>
      </c>
      <c r="H31" s="7">
        <f t="shared" si="13"/>
        <v>0</v>
      </c>
      <c r="I31" s="7">
        <f t="shared" si="13"/>
        <v>0</v>
      </c>
      <c r="J31" s="7">
        <f t="shared" si="13"/>
        <v>0</v>
      </c>
      <c r="K31" s="7">
        <f t="shared" si="13"/>
        <v>0</v>
      </c>
      <c r="L31" s="7">
        <f t="shared" si="13"/>
        <v>0</v>
      </c>
      <c r="M31" s="7">
        <f t="shared" si="13"/>
        <v>0</v>
      </c>
      <c r="N31" s="7">
        <f t="shared" si="13"/>
        <v>0</v>
      </c>
      <c r="O31" s="7">
        <f t="shared" si="13"/>
        <v>0</v>
      </c>
      <c r="P31" s="7">
        <f t="shared" si="13"/>
        <v>0</v>
      </c>
      <c r="Q31" s="7">
        <f t="shared" si="13"/>
        <v>0</v>
      </c>
      <c r="S31" s="7">
        <f t="shared" si="14"/>
        <v>0</v>
      </c>
      <c r="T31" s="7">
        <f t="shared" si="15"/>
        <v>0</v>
      </c>
      <c r="U31" s="7">
        <f t="shared" si="16"/>
        <v>0</v>
      </c>
      <c r="V31" s="7">
        <f t="shared" si="17"/>
        <v>0</v>
      </c>
      <c r="X31" s="7">
        <f t="shared" si="18"/>
        <v>0</v>
      </c>
    </row>
    <row r="32" spans="3:24" x14ac:dyDescent="0.2">
      <c r="C32" s="84" t="s">
        <v>12</v>
      </c>
      <c r="D32" s="91">
        <v>0</v>
      </c>
      <c r="F32" s="7">
        <f t="shared" si="13"/>
        <v>0</v>
      </c>
      <c r="G32" s="7">
        <f t="shared" si="13"/>
        <v>0</v>
      </c>
      <c r="H32" s="7">
        <f t="shared" si="13"/>
        <v>0</v>
      </c>
      <c r="I32" s="7">
        <f t="shared" si="13"/>
        <v>0</v>
      </c>
      <c r="J32" s="7">
        <f t="shared" si="13"/>
        <v>0</v>
      </c>
      <c r="K32" s="7">
        <f t="shared" si="13"/>
        <v>0</v>
      </c>
      <c r="L32" s="7">
        <f t="shared" si="13"/>
        <v>0</v>
      </c>
      <c r="M32" s="7">
        <f t="shared" si="13"/>
        <v>0</v>
      </c>
      <c r="N32" s="7">
        <f t="shared" si="13"/>
        <v>0</v>
      </c>
      <c r="O32" s="7">
        <f t="shared" si="13"/>
        <v>0</v>
      </c>
      <c r="P32" s="7">
        <f t="shared" si="13"/>
        <v>0</v>
      </c>
      <c r="Q32" s="7">
        <f t="shared" si="13"/>
        <v>0</v>
      </c>
      <c r="S32" s="7">
        <f t="shared" si="14"/>
        <v>0</v>
      </c>
      <c r="T32" s="7">
        <f t="shared" si="15"/>
        <v>0</v>
      </c>
      <c r="U32" s="7">
        <f t="shared" si="16"/>
        <v>0</v>
      </c>
      <c r="V32" s="7">
        <f t="shared" si="17"/>
        <v>0</v>
      </c>
      <c r="X32" s="7">
        <f t="shared" si="18"/>
        <v>0</v>
      </c>
    </row>
    <row r="33" spans="3:24" x14ac:dyDescent="0.2">
      <c r="C33" s="84" t="s">
        <v>13</v>
      </c>
      <c r="D33" s="91">
        <v>0</v>
      </c>
      <c r="F33" s="7">
        <f t="shared" si="13"/>
        <v>0</v>
      </c>
      <c r="G33" s="7">
        <f t="shared" si="13"/>
        <v>0</v>
      </c>
      <c r="H33" s="7">
        <f t="shared" si="13"/>
        <v>0</v>
      </c>
      <c r="I33" s="7">
        <f t="shared" si="13"/>
        <v>0</v>
      </c>
      <c r="J33" s="7">
        <f t="shared" si="13"/>
        <v>0</v>
      </c>
      <c r="K33" s="7">
        <f t="shared" si="13"/>
        <v>0</v>
      </c>
      <c r="L33" s="7">
        <f t="shared" si="13"/>
        <v>0</v>
      </c>
      <c r="M33" s="7">
        <f t="shared" si="13"/>
        <v>0</v>
      </c>
      <c r="N33" s="7">
        <f t="shared" si="13"/>
        <v>0</v>
      </c>
      <c r="O33" s="7">
        <f t="shared" si="13"/>
        <v>0</v>
      </c>
      <c r="P33" s="7">
        <f t="shared" si="13"/>
        <v>0</v>
      </c>
      <c r="Q33" s="7">
        <f t="shared" si="13"/>
        <v>0</v>
      </c>
      <c r="S33" s="7">
        <f t="shared" si="14"/>
        <v>0</v>
      </c>
      <c r="T33" s="7">
        <f t="shared" si="15"/>
        <v>0</v>
      </c>
      <c r="U33" s="7">
        <f t="shared" si="16"/>
        <v>0</v>
      </c>
      <c r="V33" s="7">
        <f t="shared" si="17"/>
        <v>0</v>
      </c>
      <c r="X33" s="7">
        <f t="shared" si="18"/>
        <v>0</v>
      </c>
    </row>
    <row r="34" spans="3:24" x14ac:dyDescent="0.2">
      <c r="C34" s="57" t="s">
        <v>174</v>
      </c>
      <c r="D34" s="31"/>
      <c r="E34" s="31"/>
      <c r="F34" s="18">
        <f>SUM(F28:F33)</f>
        <v>2450</v>
      </c>
      <c r="G34" s="18">
        <f t="shared" ref="G34:X34" si="19">SUM(G28:G33)</f>
        <v>2572.5</v>
      </c>
      <c r="H34" s="18">
        <f t="shared" si="19"/>
        <v>2701.125</v>
      </c>
      <c r="I34" s="18">
        <f t="shared" si="19"/>
        <v>3106.2937499999998</v>
      </c>
      <c r="J34" s="18">
        <f t="shared" si="19"/>
        <v>3882.8671875</v>
      </c>
      <c r="K34" s="18">
        <f t="shared" si="19"/>
        <v>4853.583984375</v>
      </c>
      <c r="L34" s="18">
        <f t="shared" si="19"/>
        <v>7280.3759765625</v>
      </c>
      <c r="M34" s="18">
        <f t="shared" si="19"/>
        <v>10920.56396484375</v>
      </c>
      <c r="N34" s="18">
        <f t="shared" si="19"/>
        <v>17472.90234375</v>
      </c>
      <c r="O34" s="18">
        <f t="shared" si="19"/>
        <v>27956.643750000003</v>
      </c>
      <c r="P34" s="18">
        <f t="shared" si="19"/>
        <v>47526.294374999998</v>
      </c>
      <c r="Q34" s="18">
        <f t="shared" si="19"/>
        <v>80794.700437500011</v>
      </c>
      <c r="R34" s="17"/>
      <c r="S34" s="18">
        <f t="shared" si="19"/>
        <v>7723.625</v>
      </c>
      <c r="T34" s="18">
        <f t="shared" si="19"/>
        <v>11842.744921874999</v>
      </c>
      <c r="U34" s="18">
        <f t="shared" si="19"/>
        <v>35673.84228515625</v>
      </c>
      <c r="V34" s="18">
        <f t="shared" si="19"/>
        <v>156277.63856250001</v>
      </c>
      <c r="W34" s="17"/>
      <c r="X34" s="18">
        <f t="shared" si="19"/>
        <v>211517.85076953127</v>
      </c>
    </row>
    <row r="36" spans="3:24" ht="15" thickBot="1" x14ac:dyDescent="0.25">
      <c r="C36" s="12" t="s">
        <v>171</v>
      </c>
      <c r="F36" s="25">
        <f t="shared" ref="F36:Q36" si="20">F26+F34</f>
        <v>3500</v>
      </c>
      <c r="G36" s="25">
        <f t="shared" si="20"/>
        <v>3675</v>
      </c>
      <c r="H36" s="25">
        <f t="shared" si="20"/>
        <v>3858.75</v>
      </c>
      <c r="I36" s="25">
        <f t="shared" si="20"/>
        <v>4437.5625</v>
      </c>
      <c r="J36" s="25">
        <f t="shared" si="20"/>
        <v>5546.953125</v>
      </c>
      <c r="K36" s="25">
        <f t="shared" si="20"/>
        <v>6933.69140625</v>
      </c>
      <c r="L36" s="25">
        <f t="shared" si="20"/>
        <v>10400.537109375</v>
      </c>
      <c r="M36" s="25">
        <f t="shared" si="20"/>
        <v>15600.8056640625</v>
      </c>
      <c r="N36" s="25">
        <f t="shared" si="20"/>
        <v>24961.2890625</v>
      </c>
      <c r="O36" s="25">
        <f t="shared" si="20"/>
        <v>39938.0625</v>
      </c>
      <c r="P36" s="25">
        <f t="shared" si="20"/>
        <v>67894.706250000003</v>
      </c>
      <c r="Q36" s="25">
        <f t="shared" si="20"/>
        <v>115421.00062500002</v>
      </c>
      <c r="S36" s="25">
        <f>S26+S34</f>
        <v>11033.75</v>
      </c>
      <c r="T36" s="25">
        <f>T26+T34</f>
        <v>16918.20703125</v>
      </c>
      <c r="U36" s="25">
        <f>U26+U34</f>
        <v>50962.6318359375</v>
      </c>
      <c r="V36" s="25">
        <f>V26+V34</f>
        <v>223253.76937500003</v>
      </c>
      <c r="X36" s="25">
        <f>X26+X34</f>
        <v>302168.35824218753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8AF6-A28B-4E04-B219-36CF176C346B}">
  <sheetPr>
    <tabColor theme="1" tint="0.499984740745262"/>
  </sheetPr>
  <dimension ref="C2:X31"/>
  <sheetViews>
    <sheetView showGridLines="0" workbookViewId="0">
      <pane ySplit="5" topLeftCell="A6" activePane="bottomLeft" state="frozen"/>
      <selection pane="bottomLeft" activeCell="A31" sqref="A31"/>
    </sheetView>
  </sheetViews>
  <sheetFormatPr baseColWidth="10" defaultColWidth="8.83203125" defaultRowHeight="14" x14ac:dyDescent="0.2"/>
  <cols>
    <col min="1" max="2" width="3.6640625" style="1" customWidth="1"/>
    <col min="3" max="3" width="40" style="1" bestFit="1" customWidth="1"/>
    <col min="4" max="4" width="13.5" style="1" customWidth="1"/>
    <col min="5" max="16" width="10.6640625" style="1" customWidth="1"/>
    <col min="17" max="17" width="3.6640625" style="1" customWidth="1"/>
    <col min="18" max="21" width="10.6640625" style="1" customWidth="1"/>
    <col min="22" max="22" width="3.6640625" style="1" customWidth="1"/>
    <col min="23" max="23" width="10.6640625" style="1" customWidth="1"/>
    <col min="24" max="25" width="3.6640625" style="1" customWidth="1"/>
    <col min="26" max="16384" width="8.83203125" style="1"/>
  </cols>
  <sheetData>
    <row r="2" spans="3:24" x14ac:dyDescent="0.2">
      <c r="C2" s="27" t="s">
        <v>0</v>
      </c>
      <c r="D2" s="27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3:24" x14ac:dyDescent="0.2">
      <c r="C3" s="14" t="s">
        <v>175</v>
      </c>
      <c r="D3" s="14"/>
    </row>
    <row r="4" spans="3:24" ht="6" customHeight="1" x14ac:dyDescent="0.2"/>
    <row r="5" spans="3:24" ht="14" customHeight="1" thickBot="1" x14ac:dyDescent="0.25">
      <c r="C5" s="6" t="s">
        <v>151</v>
      </c>
      <c r="D5" s="6" t="s">
        <v>72</v>
      </c>
      <c r="E5" s="11">
        <v>46023</v>
      </c>
      <c r="F5" s="11">
        <f>EOMONTH(E5,0)+1</f>
        <v>46054</v>
      </c>
      <c r="G5" s="11">
        <f t="shared" ref="G5:P5" si="0">EOMONTH(F5,0)+1</f>
        <v>46082</v>
      </c>
      <c r="H5" s="11">
        <f t="shared" si="0"/>
        <v>46113</v>
      </c>
      <c r="I5" s="11">
        <f t="shared" si="0"/>
        <v>46143</v>
      </c>
      <c r="J5" s="11">
        <f t="shared" si="0"/>
        <v>46174</v>
      </c>
      <c r="K5" s="11">
        <f t="shared" si="0"/>
        <v>46204</v>
      </c>
      <c r="L5" s="11">
        <f t="shared" si="0"/>
        <v>46235</v>
      </c>
      <c r="M5" s="11">
        <f t="shared" si="0"/>
        <v>46266</v>
      </c>
      <c r="N5" s="11">
        <f t="shared" si="0"/>
        <v>46296</v>
      </c>
      <c r="O5" s="11">
        <f t="shared" si="0"/>
        <v>46327</v>
      </c>
      <c r="P5" s="11">
        <f t="shared" si="0"/>
        <v>46357</v>
      </c>
      <c r="R5" s="20" t="s">
        <v>3</v>
      </c>
      <c r="S5" s="20" t="s">
        <v>4</v>
      </c>
      <c r="T5" s="20" t="s">
        <v>5</v>
      </c>
      <c r="U5" s="20" t="s">
        <v>6</v>
      </c>
      <c r="W5" s="20" t="s">
        <v>7</v>
      </c>
    </row>
    <row r="6" spans="3:24" ht="6" customHeight="1" x14ac:dyDescent="0.2"/>
    <row r="7" spans="3:24" x14ac:dyDescent="0.2">
      <c r="C7" s="1" t="s">
        <v>176</v>
      </c>
      <c r="D7" s="106">
        <f>IF($D$28="Moderate",#REF!,D31)</f>
        <v>1400</v>
      </c>
      <c r="E7" s="55">
        <f>IF('Sales Forecast'!D9&gt;1,'Sales Forecast'!D9-1,0)*Other!$D7</f>
        <v>0</v>
      </c>
      <c r="F7" s="55">
        <f>IF('Sales Forecast'!E9&gt;1,'Sales Forecast'!E9-1,0)*Other!$D7</f>
        <v>0</v>
      </c>
      <c r="G7" s="55">
        <f>IF('Sales Forecast'!F9&gt;1,'Sales Forecast'!F9-1,0)*Other!$D7</f>
        <v>0</v>
      </c>
      <c r="H7" s="55">
        <f>IF('Sales Forecast'!G9&gt;1,'Sales Forecast'!G9-1,0)*Other!$D7</f>
        <v>0</v>
      </c>
      <c r="I7" s="55">
        <f>IF('Sales Forecast'!H9&gt;1,'Sales Forecast'!H9-1,0)*Other!$D7</f>
        <v>0</v>
      </c>
      <c r="J7" s="55">
        <f>IF('Sales Forecast'!I9&gt;1,'Sales Forecast'!I9-1,0)*Other!$D7</f>
        <v>0</v>
      </c>
      <c r="K7" s="55">
        <f>IF('Sales Forecast'!J9&gt;1,'Sales Forecast'!J9-1,0)*Other!$D7</f>
        <v>0</v>
      </c>
      <c r="L7" s="55">
        <f>IF('Sales Forecast'!K9&gt;1,'Sales Forecast'!K9-1,0)*Other!$D7</f>
        <v>1400</v>
      </c>
      <c r="M7" s="55">
        <f>IF('Sales Forecast'!L9&gt;1,'Sales Forecast'!L9-1,0)*Other!$D7</f>
        <v>1400</v>
      </c>
      <c r="N7" s="55">
        <f>IF('Sales Forecast'!M9&gt;1,'Sales Forecast'!M9-1,0)*Other!$D7</f>
        <v>2800</v>
      </c>
      <c r="O7" s="55">
        <f>IF('Sales Forecast'!N9&gt;1,'Sales Forecast'!N9-1,0)*Other!$D7</f>
        <v>2800</v>
      </c>
      <c r="P7" s="55">
        <f>IF('Sales Forecast'!O9&gt;1,'Sales Forecast'!O9-1,0)*Other!$D7</f>
        <v>4200</v>
      </c>
      <c r="R7" s="7">
        <f t="shared" ref="R7:R9" si="1">SUM(E7:G7)</f>
        <v>0</v>
      </c>
      <c r="S7" s="7">
        <f t="shared" ref="S7:S9" si="2">SUM(H7:J7)</f>
        <v>0</v>
      </c>
      <c r="T7" s="7">
        <f t="shared" ref="T7:T9" si="3">SUM(K7:M7)</f>
        <v>2800</v>
      </c>
      <c r="U7" s="7">
        <f t="shared" ref="U7:U9" si="4">SUM(N7:P7)</f>
        <v>9800</v>
      </c>
      <c r="W7" s="7">
        <f t="shared" ref="W7:W9" si="5">SUM(R7:U7)</f>
        <v>12600</v>
      </c>
    </row>
    <row r="8" spans="3:24" x14ac:dyDescent="0.2">
      <c r="C8" s="1" t="s">
        <v>177</v>
      </c>
      <c r="D8" s="103">
        <v>1.2500000000000001E-2</v>
      </c>
      <c r="E8" s="55">
        <f>SUM('Sales Forecast'!D37:D37)*Other!$D8</f>
        <v>0</v>
      </c>
      <c r="F8" s="55">
        <f>SUM('Sales Forecast'!E37:E37)*Other!$D8</f>
        <v>0</v>
      </c>
      <c r="G8" s="55">
        <f>SUM('Sales Forecast'!F37:F37)*Other!$D8</f>
        <v>0</v>
      </c>
      <c r="H8" s="55">
        <f>SUM('Sales Forecast'!G37:G37)*Other!$D8</f>
        <v>0</v>
      </c>
      <c r="I8" s="55">
        <f>SUM('Sales Forecast'!H37:H37)*Other!$D8</f>
        <v>0</v>
      </c>
      <c r="J8" s="55">
        <f>SUM('Sales Forecast'!I37:I37)*Other!$D8</f>
        <v>0</v>
      </c>
      <c r="K8" s="55">
        <f>SUM('Sales Forecast'!J37:J37)*Other!$D8</f>
        <v>0</v>
      </c>
      <c r="L8" s="55">
        <f>SUM('Sales Forecast'!K37:K37)*Other!$D8</f>
        <v>0</v>
      </c>
      <c r="M8" s="55">
        <f>SUM('Sales Forecast'!L37:L37)*Other!$D8</f>
        <v>93.75</v>
      </c>
      <c r="N8" s="55">
        <f>SUM('Sales Forecast'!M37:M37)*Other!$D8</f>
        <v>93.75</v>
      </c>
      <c r="O8" s="55">
        <f>SUM('Sales Forecast'!N37:N37)*Other!$D8</f>
        <v>187.5</v>
      </c>
      <c r="P8" s="55">
        <f>SUM('Sales Forecast'!O37:O37)*Other!$D8</f>
        <v>187.5</v>
      </c>
      <c r="R8" s="7">
        <f t="shared" ref="R8" si="6">SUM(E8:G8)</f>
        <v>0</v>
      </c>
      <c r="S8" s="7">
        <f t="shared" ref="S8" si="7">SUM(H8:J8)</f>
        <v>0</v>
      </c>
      <c r="T8" s="7">
        <f t="shared" ref="T8" si="8">SUM(K8:M8)</f>
        <v>93.75</v>
      </c>
      <c r="U8" s="7">
        <f t="shared" ref="U8" si="9">SUM(N8:P8)</f>
        <v>468.75</v>
      </c>
      <c r="W8" s="7">
        <f t="shared" ref="W8" si="10">SUM(R8:U8)</f>
        <v>562.5</v>
      </c>
    </row>
    <row r="9" spans="3:24" x14ac:dyDescent="0.2">
      <c r="C9" s="1" t="s">
        <v>178</v>
      </c>
      <c r="D9" s="103">
        <v>1.2500000000000001E-2</v>
      </c>
      <c r="E9" s="55">
        <f>SUM('Sales Forecast'!D43:D43)*Other!$D9</f>
        <v>0</v>
      </c>
      <c r="F9" s="55">
        <f>SUM('Sales Forecast'!E43:E43)*Other!$D9</f>
        <v>0</v>
      </c>
      <c r="G9" s="55">
        <f>SUM('Sales Forecast'!F43:F43)*Other!$D9</f>
        <v>0</v>
      </c>
      <c r="H9" s="55">
        <f>SUM('Sales Forecast'!G43:G43)*Other!$D9</f>
        <v>93.75</v>
      </c>
      <c r="I9" s="55">
        <f>SUM('Sales Forecast'!H43:H43)*Other!$D9</f>
        <v>187.5</v>
      </c>
      <c r="J9" s="55">
        <f>SUM('Sales Forecast'!I43:I43)*Other!$D9</f>
        <v>281.25</v>
      </c>
      <c r="K9" s="55">
        <f>SUM('Sales Forecast'!J43:J43)*Other!$D9</f>
        <v>562.5</v>
      </c>
      <c r="L9" s="55">
        <f>SUM('Sales Forecast'!K43:K43)*Other!$D9</f>
        <v>1031.25</v>
      </c>
      <c r="M9" s="55">
        <f>SUM('Sales Forecast'!L43:L43)*Other!$D9</f>
        <v>1500</v>
      </c>
      <c r="N9" s="55">
        <f>SUM('Sales Forecast'!M43:M43)*Other!$D9</f>
        <v>2437.5</v>
      </c>
      <c r="O9" s="55">
        <f>SUM('Sales Forecast'!N43:N43)*Other!$D9</f>
        <v>3375</v>
      </c>
      <c r="P9" s="55">
        <f>SUM('Sales Forecast'!O43:O43)*Other!$D9</f>
        <v>4500</v>
      </c>
      <c r="R9" s="7">
        <f t="shared" si="1"/>
        <v>0</v>
      </c>
      <c r="S9" s="7">
        <f t="shared" si="2"/>
        <v>562.5</v>
      </c>
      <c r="T9" s="7">
        <f t="shared" si="3"/>
        <v>3093.75</v>
      </c>
      <c r="U9" s="7">
        <f t="shared" si="4"/>
        <v>10312.5</v>
      </c>
      <c r="W9" s="7">
        <f t="shared" si="5"/>
        <v>13968.75</v>
      </c>
    </row>
    <row r="10" spans="3:24" x14ac:dyDescent="0.2">
      <c r="C10" s="12" t="s">
        <v>179</v>
      </c>
      <c r="E10" s="18">
        <f t="shared" ref="E10:P10" si="11">SUM(E7:E9)</f>
        <v>0</v>
      </c>
      <c r="F10" s="18">
        <f t="shared" si="11"/>
        <v>0</v>
      </c>
      <c r="G10" s="18">
        <f t="shared" si="11"/>
        <v>0</v>
      </c>
      <c r="H10" s="18">
        <f t="shared" si="11"/>
        <v>93.75</v>
      </c>
      <c r="I10" s="18">
        <f t="shared" si="11"/>
        <v>187.5</v>
      </c>
      <c r="J10" s="18">
        <f t="shared" si="11"/>
        <v>281.25</v>
      </c>
      <c r="K10" s="18">
        <f t="shared" si="11"/>
        <v>562.5</v>
      </c>
      <c r="L10" s="18">
        <f t="shared" si="11"/>
        <v>2431.25</v>
      </c>
      <c r="M10" s="18">
        <f t="shared" si="11"/>
        <v>2993.75</v>
      </c>
      <c r="N10" s="18">
        <f t="shared" si="11"/>
        <v>5331.25</v>
      </c>
      <c r="O10" s="18">
        <f t="shared" si="11"/>
        <v>6362.5</v>
      </c>
      <c r="P10" s="18">
        <f t="shared" si="11"/>
        <v>8887.5</v>
      </c>
      <c r="R10" s="18">
        <f>SUM(R7:R9)</f>
        <v>0</v>
      </c>
      <c r="S10" s="18">
        <f>SUM(S7:S9)</f>
        <v>562.5</v>
      </c>
      <c r="T10" s="18">
        <f>SUM(T7:T9)</f>
        <v>5987.5</v>
      </c>
      <c r="U10" s="18">
        <f>SUM(U7:U9)</f>
        <v>20581.25</v>
      </c>
      <c r="W10" s="18">
        <f>SUM(W7:W9)</f>
        <v>27131.25</v>
      </c>
    </row>
    <row r="11" spans="3:24" ht="6" customHeight="1" x14ac:dyDescent="0.2">
      <c r="E11" s="2"/>
    </row>
    <row r="12" spans="3:24" x14ac:dyDescent="0.2">
      <c r="C12" s="12" t="s">
        <v>175</v>
      </c>
      <c r="D12" s="32"/>
      <c r="E12" s="43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S12" s="7"/>
      <c r="T12" s="7"/>
      <c r="U12" s="7"/>
      <c r="V12" s="7"/>
      <c r="X12" s="7"/>
    </row>
    <row r="13" spans="3:24" x14ac:dyDescent="0.2">
      <c r="C13" s="57" t="s">
        <v>76</v>
      </c>
      <c r="D13" s="32"/>
      <c r="E13" s="4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S13" s="7"/>
      <c r="T13" s="7"/>
      <c r="U13" s="7"/>
      <c r="V13" s="7"/>
      <c r="X13" s="7"/>
    </row>
    <row r="14" spans="3:24" x14ac:dyDescent="0.2">
      <c r="C14" s="84" t="s">
        <v>10</v>
      </c>
      <c r="D14" s="104">
        <f>'Sales Forecast'!V37/SUM('Sales Forecast'!$V$37:$V$37)</f>
        <v>1</v>
      </c>
      <c r="E14" s="55">
        <f>SUM(E$7:E$7)*$D14+'Sales Forecast'!D37*Other!$D$8</f>
        <v>0</v>
      </c>
      <c r="F14" s="55">
        <f>SUM(F$7:F$7)*$D14+'Sales Forecast'!E37*Other!$D$8</f>
        <v>0</v>
      </c>
      <c r="G14" s="55">
        <f>SUM(G$7:G$7)*$D14+'Sales Forecast'!F37*Other!$D$8</f>
        <v>0</v>
      </c>
      <c r="H14" s="55">
        <f>SUM(H$7:H$7)*$D14+'Sales Forecast'!G37*Other!$D$8</f>
        <v>0</v>
      </c>
      <c r="I14" s="55">
        <f>SUM(I$7:I$7)*$D14+'Sales Forecast'!H37*Other!$D$8</f>
        <v>0</v>
      </c>
      <c r="J14" s="55">
        <f>SUM(J$7:J$7)*$D14+'Sales Forecast'!I37*Other!$D$8</f>
        <v>0</v>
      </c>
      <c r="K14" s="55">
        <f>SUM(K$7:K$7)*$D14+'Sales Forecast'!J37*Other!$D$8</f>
        <v>0</v>
      </c>
      <c r="L14" s="55">
        <f>SUM(L$7:L$7)*$D14+'Sales Forecast'!K37*Other!$D$8</f>
        <v>1400</v>
      </c>
      <c r="M14" s="55">
        <f>SUM(M$7:M$7)*$D14+'Sales Forecast'!L37*Other!$D$8</f>
        <v>1493.75</v>
      </c>
      <c r="N14" s="55">
        <f>SUM(N$7:N$7)*$D14+'Sales Forecast'!M37*Other!$D$8</f>
        <v>2893.75</v>
      </c>
      <c r="O14" s="55">
        <f>SUM(O$7:O$7)*$D14+'Sales Forecast'!N37*Other!$D$8</f>
        <v>2987.5</v>
      </c>
      <c r="P14" s="55">
        <f>SUM(P$7:P$7)*$D14+'Sales Forecast'!O37*Other!$D$8</f>
        <v>4387.5</v>
      </c>
      <c r="R14" s="7">
        <f t="shared" ref="R14:R17" si="12">SUM(E14:G14)</f>
        <v>0</v>
      </c>
      <c r="S14" s="7">
        <f t="shared" ref="S14:S17" si="13">SUM(H14:J14)</f>
        <v>0</v>
      </c>
      <c r="T14" s="7">
        <f t="shared" ref="T14:T17" si="14">SUM(K14:M14)</f>
        <v>2893.75</v>
      </c>
      <c r="U14" s="7">
        <f t="shared" ref="U14:U17" si="15">SUM(N14:P14)</f>
        <v>10268.75</v>
      </c>
      <c r="W14" s="7">
        <f t="shared" ref="W14:W17" si="16">SUM(R14:U14)</f>
        <v>13162.5</v>
      </c>
    </row>
    <row r="15" spans="3:24" x14ac:dyDescent="0.2">
      <c r="C15" s="84" t="s">
        <v>11</v>
      </c>
      <c r="D15" s="62"/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R15" s="7">
        <f t="shared" si="12"/>
        <v>0</v>
      </c>
      <c r="S15" s="7">
        <f t="shared" si="13"/>
        <v>0</v>
      </c>
      <c r="T15" s="7">
        <f t="shared" si="14"/>
        <v>0</v>
      </c>
      <c r="U15" s="7">
        <f t="shared" si="15"/>
        <v>0</v>
      </c>
      <c r="W15" s="7">
        <f t="shared" si="16"/>
        <v>0</v>
      </c>
    </row>
    <row r="16" spans="3:24" x14ac:dyDescent="0.2">
      <c r="C16" s="84" t="s">
        <v>12</v>
      </c>
      <c r="D16" s="62"/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R16" s="7">
        <f t="shared" si="12"/>
        <v>0</v>
      </c>
      <c r="S16" s="7">
        <f t="shared" si="13"/>
        <v>0</v>
      </c>
      <c r="T16" s="7">
        <f t="shared" si="14"/>
        <v>0</v>
      </c>
      <c r="U16" s="7">
        <f t="shared" si="15"/>
        <v>0</v>
      </c>
      <c r="W16" s="7">
        <f t="shared" si="16"/>
        <v>0</v>
      </c>
    </row>
    <row r="17" spans="3:24" x14ac:dyDescent="0.2">
      <c r="C17" s="84" t="s">
        <v>13</v>
      </c>
      <c r="D17" s="62"/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0</v>
      </c>
      <c r="M17" s="41">
        <v>0</v>
      </c>
      <c r="N17" s="41">
        <v>0</v>
      </c>
      <c r="O17" s="41">
        <v>0</v>
      </c>
      <c r="P17" s="41">
        <v>0</v>
      </c>
      <c r="R17" s="7">
        <f t="shared" si="12"/>
        <v>0</v>
      </c>
      <c r="S17" s="7">
        <f t="shared" si="13"/>
        <v>0</v>
      </c>
      <c r="T17" s="7">
        <f t="shared" si="14"/>
        <v>0</v>
      </c>
      <c r="U17" s="7">
        <f t="shared" si="15"/>
        <v>0</v>
      </c>
      <c r="W17" s="7">
        <f t="shared" si="16"/>
        <v>0</v>
      </c>
    </row>
    <row r="18" spans="3:24" x14ac:dyDescent="0.2">
      <c r="C18" s="57" t="s">
        <v>180</v>
      </c>
      <c r="D18" s="31"/>
      <c r="E18" s="18">
        <f t="shared" ref="E18:P18" si="17">SUM(E14:E17)</f>
        <v>0</v>
      </c>
      <c r="F18" s="18">
        <f t="shared" si="17"/>
        <v>0</v>
      </c>
      <c r="G18" s="18">
        <f t="shared" si="17"/>
        <v>0</v>
      </c>
      <c r="H18" s="18">
        <f t="shared" si="17"/>
        <v>0</v>
      </c>
      <c r="I18" s="18">
        <f t="shared" si="17"/>
        <v>0</v>
      </c>
      <c r="J18" s="18">
        <f t="shared" si="17"/>
        <v>0</v>
      </c>
      <c r="K18" s="18">
        <f t="shared" si="17"/>
        <v>0</v>
      </c>
      <c r="L18" s="18">
        <f t="shared" si="17"/>
        <v>1400</v>
      </c>
      <c r="M18" s="18">
        <f t="shared" si="17"/>
        <v>1493.75</v>
      </c>
      <c r="N18" s="18">
        <f t="shared" si="17"/>
        <v>2893.75</v>
      </c>
      <c r="O18" s="18">
        <f t="shared" si="17"/>
        <v>2987.5</v>
      </c>
      <c r="P18" s="18">
        <f t="shared" si="17"/>
        <v>4387.5</v>
      </c>
      <c r="Q18" s="17"/>
      <c r="R18" s="18">
        <f>SUM(R14:R17)</f>
        <v>0</v>
      </c>
      <c r="S18" s="18">
        <f>SUM(S14:S17)</f>
        <v>0</v>
      </c>
      <c r="T18" s="18">
        <f>SUM(T14:T17)</f>
        <v>2893.75</v>
      </c>
      <c r="U18" s="18">
        <f>SUM(U14:U17)</f>
        <v>10268.75</v>
      </c>
      <c r="V18" s="17"/>
      <c r="W18" s="18">
        <f>SUM(R18:U18)</f>
        <v>13162.5</v>
      </c>
    </row>
    <row r="19" spans="3:24" x14ac:dyDescent="0.2">
      <c r="C19" s="57" t="s">
        <v>80</v>
      </c>
      <c r="D19" s="32"/>
      <c r="E19" s="4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S19" s="7"/>
      <c r="T19" s="7"/>
      <c r="U19" s="7"/>
      <c r="V19" s="7"/>
      <c r="X19" s="7"/>
    </row>
    <row r="20" spans="3:24" x14ac:dyDescent="0.2">
      <c r="C20" s="84" t="s">
        <v>10</v>
      </c>
      <c r="D20" s="62"/>
      <c r="E20" s="55">
        <f>'Sales Forecast'!D43*Other!$D$9</f>
        <v>0</v>
      </c>
      <c r="F20" s="55">
        <f>'Sales Forecast'!E43*Other!$D$9</f>
        <v>0</v>
      </c>
      <c r="G20" s="55">
        <f>'Sales Forecast'!F43*Other!$D$9</f>
        <v>0</v>
      </c>
      <c r="H20" s="55">
        <f>'Sales Forecast'!G43*Other!$D$9</f>
        <v>93.75</v>
      </c>
      <c r="I20" s="55">
        <f>'Sales Forecast'!H43*Other!$D$9</f>
        <v>187.5</v>
      </c>
      <c r="J20" s="55">
        <f>'Sales Forecast'!I43*Other!$D$9</f>
        <v>281.25</v>
      </c>
      <c r="K20" s="55">
        <f>'Sales Forecast'!J43*Other!$D$9</f>
        <v>562.5</v>
      </c>
      <c r="L20" s="55">
        <f>'Sales Forecast'!K43*Other!$D$9</f>
        <v>1031.25</v>
      </c>
      <c r="M20" s="55">
        <f>'Sales Forecast'!L43*Other!$D$9</f>
        <v>1500</v>
      </c>
      <c r="N20" s="55">
        <f>'Sales Forecast'!M43*Other!$D$9</f>
        <v>2437.5</v>
      </c>
      <c r="O20" s="55">
        <f>'Sales Forecast'!N43*Other!$D$9</f>
        <v>3375</v>
      </c>
      <c r="P20" s="55">
        <f>'Sales Forecast'!O43*Other!$D$9</f>
        <v>4500</v>
      </c>
      <c r="R20" s="7">
        <f t="shared" ref="R20:R23" si="18">SUM(E20:G20)</f>
        <v>0</v>
      </c>
      <c r="S20" s="7">
        <f t="shared" ref="S20:S23" si="19">SUM(H20:J20)</f>
        <v>562.5</v>
      </c>
      <c r="T20" s="7">
        <f t="shared" ref="T20:T23" si="20">SUM(K20:M20)</f>
        <v>3093.75</v>
      </c>
      <c r="U20" s="7">
        <f t="shared" ref="U20:U23" si="21">SUM(N20:P20)</f>
        <v>10312.5</v>
      </c>
      <c r="W20" s="7">
        <f t="shared" ref="W20:W23" si="22">SUM(R20:U20)</f>
        <v>13968.75</v>
      </c>
    </row>
    <row r="21" spans="3:24" x14ac:dyDescent="0.2">
      <c r="C21" s="84" t="s">
        <v>11</v>
      </c>
      <c r="D21" s="62"/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R21" s="7">
        <f t="shared" si="18"/>
        <v>0</v>
      </c>
      <c r="S21" s="7">
        <f t="shared" si="19"/>
        <v>0</v>
      </c>
      <c r="T21" s="7">
        <f t="shared" si="20"/>
        <v>0</v>
      </c>
      <c r="U21" s="7">
        <f t="shared" si="21"/>
        <v>0</v>
      </c>
      <c r="W21" s="7">
        <f t="shared" si="22"/>
        <v>0</v>
      </c>
    </row>
    <row r="22" spans="3:24" x14ac:dyDescent="0.2">
      <c r="C22" s="84" t="s">
        <v>12</v>
      </c>
      <c r="D22" s="62"/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0</v>
      </c>
      <c r="M22" s="41">
        <v>0</v>
      </c>
      <c r="N22" s="41">
        <v>0</v>
      </c>
      <c r="O22" s="41">
        <v>0</v>
      </c>
      <c r="P22" s="41">
        <v>0</v>
      </c>
      <c r="R22" s="7">
        <f t="shared" si="18"/>
        <v>0</v>
      </c>
      <c r="S22" s="7">
        <f t="shared" si="19"/>
        <v>0</v>
      </c>
      <c r="T22" s="7">
        <f t="shared" si="20"/>
        <v>0</v>
      </c>
      <c r="U22" s="7">
        <f t="shared" si="21"/>
        <v>0</v>
      </c>
      <c r="W22" s="7">
        <f t="shared" si="22"/>
        <v>0</v>
      </c>
    </row>
    <row r="23" spans="3:24" x14ac:dyDescent="0.2">
      <c r="C23" s="84" t="s">
        <v>13</v>
      </c>
      <c r="D23" s="62"/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R23" s="7">
        <f t="shared" si="18"/>
        <v>0</v>
      </c>
      <c r="S23" s="7">
        <f t="shared" si="19"/>
        <v>0</v>
      </c>
      <c r="T23" s="7">
        <f t="shared" si="20"/>
        <v>0</v>
      </c>
      <c r="U23" s="7">
        <f t="shared" si="21"/>
        <v>0</v>
      </c>
      <c r="W23" s="7">
        <f t="shared" si="22"/>
        <v>0</v>
      </c>
    </row>
    <row r="24" spans="3:24" x14ac:dyDescent="0.2">
      <c r="C24" s="57" t="s">
        <v>181</v>
      </c>
      <c r="D24" s="31"/>
      <c r="E24" s="18">
        <f t="shared" ref="E24:P24" si="23">SUM(E20:E23)</f>
        <v>0</v>
      </c>
      <c r="F24" s="18">
        <f t="shared" si="23"/>
        <v>0</v>
      </c>
      <c r="G24" s="18">
        <f t="shared" si="23"/>
        <v>0</v>
      </c>
      <c r="H24" s="18">
        <f t="shared" si="23"/>
        <v>93.75</v>
      </c>
      <c r="I24" s="18">
        <f t="shared" si="23"/>
        <v>187.5</v>
      </c>
      <c r="J24" s="18">
        <f t="shared" si="23"/>
        <v>281.25</v>
      </c>
      <c r="K24" s="18">
        <f t="shared" si="23"/>
        <v>562.5</v>
      </c>
      <c r="L24" s="18">
        <f t="shared" si="23"/>
        <v>1031.25</v>
      </c>
      <c r="M24" s="18">
        <f t="shared" si="23"/>
        <v>1500</v>
      </c>
      <c r="N24" s="18">
        <f t="shared" si="23"/>
        <v>2437.5</v>
      </c>
      <c r="O24" s="18">
        <f t="shared" si="23"/>
        <v>3375</v>
      </c>
      <c r="P24" s="18">
        <f t="shared" si="23"/>
        <v>4500</v>
      </c>
      <c r="Q24" s="17"/>
      <c r="R24" s="18">
        <f>SUM(R20:R23)</f>
        <v>0</v>
      </c>
      <c r="S24" s="18">
        <f>SUM(S20:S23)</f>
        <v>562.5</v>
      </c>
      <c r="T24" s="18">
        <f>SUM(T20:T23)</f>
        <v>3093.75</v>
      </c>
      <c r="U24" s="18">
        <f>SUM(U20:U23)</f>
        <v>10312.5</v>
      </c>
      <c r="V24" s="17"/>
      <c r="W24" s="18">
        <f>SUM(R24:U24)</f>
        <v>13968.75</v>
      </c>
    </row>
    <row r="26" spans="3:24" ht="15" thickBot="1" x14ac:dyDescent="0.25">
      <c r="C26" s="12" t="s">
        <v>179</v>
      </c>
      <c r="E26" s="25">
        <f t="shared" ref="E26:P26" si="24">E18+E24</f>
        <v>0</v>
      </c>
      <c r="F26" s="25">
        <f t="shared" si="24"/>
        <v>0</v>
      </c>
      <c r="G26" s="25">
        <f t="shared" si="24"/>
        <v>0</v>
      </c>
      <c r="H26" s="25">
        <f t="shared" si="24"/>
        <v>93.75</v>
      </c>
      <c r="I26" s="25">
        <f t="shared" si="24"/>
        <v>187.5</v>
      </c>
      <c r="J26" s="25">
        <f t="shared" si="24"/>
        <v>281.25</v>
      </c>
      <c r="K26" s="25">
        <f t="shared" si="24"/>
        <v>562.5</v>
      </c>
      <c r="L26" s="25">
        <f t="shared" si="24"/>
        <v>2431.25</v>
      </c>
      <c r="M26" s="25">
        <f t="shared" si="24"/>
        <v>2993.75</v>
      </c>
      <c r="N26" s="25">
        <f t="shared" si="24"/>
        <v>5331.25</v>
      </c>
      <c r="O26" s="25">
        <f t="shared" si="24"/>
        <v>6362.5</v>
      </c>
      <c r="P26" s="25">
        <f t="shared" si="24"/>
        <v>8887.5</v>
      </c>
      <c r="R26" s="25">
        <f>R18+R24</f>
        <v>0</v>
      </c>
      <c r="S26" s="25">
        <f>S18+S24</f>
        <v>562.5</v>
      </c>
      <c r="T26" s="25">
        <f>T18+T24</f>
        <v>5987.5</v>
      </c>
      <c r="U26" s="25">
        <f>U18+U24</f>
        <v>20581.25</v>
      </c>
      <c r="W26" s="25">
        <f>W18+W24</f>
        <v>27131.25</v>
      </c>
    </row>
    <row r="28" spans="3:24" x14ac:dyDescent="0.2">
      <c r="C28" s="17" t="s">
        <v>86</v>
      </c>
      <c r="D28" s="109" t="str">
        <f>'Product &amp; Pricing List'!$D$10</f>
        <v>High</v>
      </c>
    </row>
    <row r="29" spans="3:24" x14ac:dyDescent="0.2">
      <c r="C29" s="1" t="s">
        <v>182</v>
      </c>
      <c r="D29" s="102">
        <v>6000</v>
      </c>
    </row>
    <row r="30" spans="3:24" x14ac:dyDescent="0.2">
      <c r="C30" s="1" t="s">
        <v>183</v>
      </c>
      <c r="D30" s="102">
        <v>7000</v>
      </c>
    </row>
    <row r="31" spans="3:24" x14ac:dyDescent="0.2">
      <c r="C31" s="1" t="s">
        <v>184</v>
      </c>
      <c r="D31" s="102">
        <v>1400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51A8-4388-4823-ADBB-BC1D0C9C38E0}">
  <sheetPr>
    <tabColor theme="1"/>
  </sheetPr>
  <dimension ref="A1"/>
  <sheetViews>
    <sheetView showGridLines="0" workbookViewId="0"/>
  </sheetViews>
  <sheetFormatPr baseColWidth="10" defaultColWidth="8.83203125" defaultRowHeight="14" x14ac:dyDescent="0.2"/>
  <cols>
    <col min="1" max="16384" width="8.83203125" style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9CA1-9218-43FE-8631-0459D4BB8CEB}">
  <sheetPr>
    <tabColor theme="1" tint="0.499984740745262"/>
  </sheetPr>
  <dimension ref="C2:X52"/>
  <sheetViews>
    <sheetView showGridLines="0" workbookViewId="0">
      <pane ySplit="5" topLeftCell="A6" activePane="bottomLeft" state="frozen"/>
      <selection pane="bottomLeft" activeCell="F32" sqref="F32"/>
    </sheetView>
  </sheetViews>
  <sheetFormatPr baseColWidth="10" defaultColWidth="8.83203125" defaultRowHeight="14" x14ac:dyDescent="0.2"/>
  <cols>
    <col min="1" max="2" width="3.6640625" style="1" customWidth="1"/>
    <col min="3" max="3" width="36" style="1" bestFit="1" customWidth="1"/>
    <col min="4" max="4" width="22.1640625" style="1" customWidth="1"/>
    <col min="5" max="5" width="13.5" style="2" customWidth="1"/>
    <col min="6" max="17" width="10.6640625" style="1" customWidth="1"/>
    <col min="18" max="18" width="3.6640625" style="1" customWidth="1"/>
    <col min="19" max="22" width="10.6640625" style="1" customWidth="1"/>
    <col min="23" max="23" width="3.6640625" style="1" customWidth="1"/>
    <col min="24" max="24" width="10.6640625" style="1" customWidth="1"/>
    <col min="25" max="26" width="3.6640625" style="1" customWidth="1"/>
    <col min="27" max="16384" width="8.83203125" style="1"/>
  </cols>
  <sheetData>
    <row r="2" spans="3:24" x14ac:dyDescent="0.2">
      <c r="C2" s="27" t="s">
        <v>0</v>
      </c>
      <c r="D2" s="27"/>
      <c r="E2" s="29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3:24" x14ac:dyDescent="0.2">
      <c r="C3" s="14" t="s">
        <v>31</v>
      </c>
      <c r="D3" s="14"/>
      <c r="E3" s="30"/>
    </row>
    <row r="4" spans="3:24" ht="6" customHeight="1" x14ac:dyDescent="0.2"/>
    <row r="5" spans="3:24" ht="14" customHeight="1" thickBot="1" x14ac:dyDescent="0.25">
      <c r="C5" s="6" t="s">
        <v>123</v>
      </c>
      <c r="D5" s="6" t="s">
        <v>185</v>
      </c>
      <c r="E5" s="5" t="s">
        <v>186</v>
      </c>
      <c r="F5" s="11">
        <v>46023</v>
      </c>
      <c r="G5" s="11">
        <f>EOMONTH(F5,0)+1</f>
        <v>46054</v>
      </c>
      <c r="H5" s="11">
        <f t="shared" ref="H5:Q5" si="0">EOMONTH(G5,0)+1</f>
        <v>46082</v>
      </c>
      <c r="I5" s="11">
        <f t="shared" si="0"/>
        <v>46113</v>
      </c>
      <c r="J5" s="11">
        <f t="shared" si="0"/>
        <v>46143</v>
      </c>
      <c r="K5" s="11">
        <f t="shared" si="0"/>
        <v>46174</v>
      </c>
      <c r="L5" s="11">
        <f t="shared" si="0"/>
        <v>46204</v>
      </c>
      <c r="M5" s="11">
        <f t="shared" si="0"/>
        <v>46235</v>
      </c>
      <c r="N5" s="11">
        <f t="shared" si="0"/>
        <v>46266</v>
      </c>
      <c r="O5" s="11">
        <f t="shared" si="0"/>
        <v>46296</v>
      </c>
      <c r="P5" s="11">
        <f t="shared" si="0"/>
        <v>46327</v>
      </c>
      <c r="Q5" s="11">
        <f t="shared" si="0"/>
        <v>46357</v>
      </c>
      <c r="S5" s="20" t="s">
        <v>3</v>
      </c>
      <c r="T5" s="20" t="s">
        <v>4</v>
      </c>
      <c r="U5" s="20" t="s">
        <v>5</v>
      </c>
      <c r="V5" s="20" t="s">
        <v>6</v>
      </c>
      <c r="X5" s="20" t="s">
        <v>7</v>
      </c>
    </row>
    <row r="6" spans="3:24" ht="6" customHeight="1" x14ac:dyDescent="0.2"/>
    <row r="7" spans="3:24" x14ac:dyDescent="0.2">
      <c r="C7" s="28" t="s">
        <v>187</v>
      </c>
      <c r="D7" s="28" t="s">
        <v>188</v>
      </c>
      <c r="E7" s="32">
        <v>32000</v>
      </c>
      <c r="F7" s="7">
        <f t="shared" ref="F7:F16" si="1">$E7/12</f>
        <v>2666.6666666666665</v>
      </c>
      <c r="G7" s="7">
        <f t="shared" ref="G7:Q16" si="2">$E7/12</f>
        <v>2666.6666666666665</v>
      </c>
      <c r="H7" s="7">
        <f t="shared" si="2"/>
        <v>2666.6666666666665</v>
      </c>
      <c r="I7" s="7">
        <f t="shared" si="2"/>
        <v>2666.6666666666665</v>
      </c>
      <c r="J7" s="7">
        <f t="shared" si="2"/>
        <v>2666.6666666666665</v>
      </c>
      <c r="K7" s="7">
        <f t="shared" si="2"/>
        <v>2666.6666666666665</v>
      </c>
      <c r="L7" s="7">
        <f t="shared" si="2"/>
        <v>2666.6666666666665</v>
      </c>
      <c r="M7" s="7">
        <f t="shared" si="2"/>
        <v>2666.6666666666665</v>
      </c>
      <c r="N7" s="7">
        <f t="shared" si="2"/>
        <v>2666.6666666666665</v>
      </c>
      <c r="O7" s="7">
        <f t="shared" si="2"/>
        <v>2666.6666666666665</v>
      </c>
      <c r="P7" s="7">
        <f t="shared" si="2"/>
        <v>2666.6666666666665</v>
      </c>
      <c r="Q7" s="7">
        <f t="shared" si="2"/>
        <v>2666.6666666666665</v>
      </c>
      <c r="S7" s="7">
        <f>SUM(F7:H7)</f>
        <v>8000</v>
      </c>
      <c r="T7" s="7">
        <f>SUM(I7:K7)</f>
        <v>8000</v>
      </c>
      <c r="U7" s="7">
        <f>SUM(L7:N7)</f>
        <v>8000</v>
      </c>
      <c r="V7" s="7">
        <f>SUM(O7:Q7)</f>
        <v>8000</v>
      </c>
      <c r="X7" s="7">
        <f>SUM(S7:V7)</f>
        <v>32000</v>
      </c>
    </row>
    <row r="8" spans="3:24" x14ac:dyDescent="0.2">
      <c r="C8" s="28" t="s">
        <v>189</v>
      </c>
      <c r="D8" s="28" t="s">
        <v>188</v>
      </c>
      <c r="E8" s="32">
        <v>60000</v>
      </c>
      <c r="F8" s="7">
        <f t="shared" si="1"/>
        <v>5000</v>
      </c>
      <c r="G8" s="7">
        <f t="shared" si="2"/>
        <v>5000</v>
      </c>
      <c r="H8" s="7">
        <f t="shared" si="2"/>
        <v>5000</v>
      </c>
      <c r="I8" s="7">
        <f t="shared" si="2"/>
        <v>5000</v>
      </c>
      <c r="J8" s="7">
        <f t="shared" si="2"/>
        <v>5000</v>
      </c>
      <c r="K8" s="7">
        <f t="shared" si="2"/>
        <v>5000</v>
      </c>
      <c r="L8" s="7">
        <f t="shared" si="2"/>
        <v>5000</v>
      </c>
      <c r="M8" s="7">
        <f t="shared" si="2"/>
        <v>5000</v>
      </c>
      <c r="N8" s="7">
        <f t="shared" si="2"/>
        <v>5000</v>
      </c>
      <c r="O8" s="7">
        <f t="shared" si="2"/>
        <v>5000</v>
      </c>
      <c r="P8" s="7">
        <f t="shared" si="2"/>
        <v>5000</v>
      </c>
      <c r="Q8" s="7">
        <f t="shared" si="2"/>
        <v>5000</v>
      </c>
      <c r="S8" s="7">
        <f t="shared" ref="S8:S16" si="3">SUM(F8:H8)</f>
        <v>15000</v>
      </c>
      <c r="T8" s="7">
        <f t="shared" ref="T8:T16" si="4">SUM(I8:K8)</f>
        <v>15000</v>
      </c>
      <c r="U8" s="7">
        <f t="shared" ref="U8:U16" si="5">SUM(L8:N8)</f>
        <v>15000</v>
      </c>
      <c r="V8" s="7">
        <f t="shared" ref="V8:V16" si="6">SUM(O8:Q8)</f>
        <v>15000</v>
      </c>
      <c r="X8" s="7">
        <f t="shared" ref="X8:X16" si="7">SUM(S8:V8)</f>
        <v>60000</v>
      </c>
    </row>
    <row r="9" spans="3:24" x14ac:dyDescent="0.2">
      <c r="C9" s="28" t="s">
        <v>132</v>
      </c>
      <c r="D9" s="28" t="s">
        <v>188</v>
      </c>
      <c r="E9" s="32">
        <v>180000</v>
      </c>
      <c r="F9" s="41">
        <v>16666.666666666668</v>
      </c>
      <c r="G9" s="7">
        <f t="shared" si="2"/>
        <v>15000</v>
      </c>
      <c r="H9" s="7">
        <f t="shared" si="2"/>
        <v>15000</v>
      </c>
      <c r="I9" s="7">
        <f t="shared" si="2"/>
        <v>15000</v>
      </c>
      <c r="J9" s="7">
        <f t="shared" si="2"/>
        <v>15000</v>
      </c>
      <c r="K9" s="7">
        <f t="shared" si="2"/>
        <v>15000</v>
      </c>
      <c r="L9" s="7">
        <f t="shared" si="2"/>
        <v>15000</v>
      </c>
      <c r="M9" s="7">
        <f t="shared" si="2"/>
        <v>15000</v>
      </c>
      <c r="N9" s="7">
        <f t="shared" si="2"/>
        <v>15000</v>
      </c>
      <c r="O9" s="7">
        <f t="shared" si="2"/>
        <v>15000</v>
      </c>
      <c r="P9" s="7">
        <f t="shared" si="2"/>
        <v>15000</v>
      </c>
      <c r="Q9" s="7">
        <f t="shared" si="2"/>
        <v>15000</v>
      </c>
      <c r="S9" s="7">
        <f t="shared" si="3"/>
        <v>46666.666666666672</v>
      </c>
      <c r="T9" s="7">
        <f t="shared" si="4"/>
        <v>45000</v>
      </c>
      <c r="U9" s="7">
        <f t="shared" si="5"/>
        <v>45000</v>
      </c>
      <c r="V9" s="7">
        <f t="shared" si="6"/>
        <v>45000</v>
      </c>
      <c r="X9" s="7">
        <f t="shared" si="7"/>
        <v>181666.66666666669</v>
      </c>
    </row>
    <row r="10" spans="3:24" x14ac:dyDescent="0.2">
      <c r="C10" s="28" t="s">
        <v>190</v>
      </c>
      <c r="D10" s="28" t="s">
        <v>188</v>
      </c>
      <c r="E10" s="32">
        <v>175000</v>
      </c>
      <c r="F10" s="7">
        <f t="shared" si="1"/>
        <v>14583.333333333334</v>
      </c>
      <c r="G10" s="7">
        <f t="shared" si="2"/>
        <v>14583.333333333334</v>
      </c>
      <c r="H10" s="7">
        <f t="shared" si="2"/>
        <v>14583.333333333334</v>
      </c>
      <c r="I10" s="7">
        <f t="shared" si="2"/>
        <v>14583.333333333334</v>
      </c>
      <c r="J10" s="7">
        <f t="shared" si="2"/>
        <v>14583.333333333334</v>
      </c>
      <c r="K10" s="7">
        <f t="shared" si="2"/>
        <v>14583.333333333334</v>
      </c>
      <c r="L10" s="7">
        <f t="shared" si="2"/>
        <v>14583.333333333334</v>
      </c>
      <c r="M10" s="7">
        <f t="shared" si="2"/>
        <v>14583.333333333334</v>
      </c>
      <c r="N10" s="7">
        <f t="shared" si="2"/>
        <v>14583.333333333334</v>
      </c>
      <c r="O10" s="7">
        <f t="shared" si="2"/>
        <v>14583.333333333334</v>
      </c>
      <c r="P10" s="7">
        <f t="shared" si="2"/>
        <v>14583.333333333334</v>
      </c>
      <c r="Q10" s="7">
        <f t="shared" si="2"/>
        <v>14583.333333333334</v>
      </c>
      <c r="S10" s="7">
        <f t="shared" ref="S10:S13" si="8">SUM(F10:H10)</f>
        <v>43750</v>
      </c>
      <c r="T10" s="7">
        <f t="shared" ref="T10:T13" si="9">SUM(I10:K10)</f>
        <v>43750</v>
      </c>
      <c r="U10" s="7">
        <f t="shared" ref="U10:U13" si="10">SUM(L10:N10)</f>
        <v>43750</v>
      </c>
      <c r="V10" s="7">
        <f t="shared" ref="V10:V13" si="11">SUM(O10:Q10)</f>
        <v>43750</v>
      </c>
      <c r="X10" s="7">
        <f t="shared" ref="X10:X13" si="12">SUM(S10:V10)</f>
        <v>175000</v>
      </c>
    </row>
    <row r="11" spans="3:24" x14ac:dyDescent="0.2">
      <c r="C11" s="28" t="s">
        <v>191</v>
      </c>
      <c r="D11" s="28" t="s">
        <v>188</v>
      </c>
      <c r="E11" s="32">
        <v>60000</v>
      </c>
      <c r="F11" s="7">
        <f t="shared" si="1"/>
        <v>5000</v>
      </c>
      <c r="G11" s="7">
        <f t="shared" si="2"/>
        <v>5000</v>
      </c>
      <c r="H11" s="7">
        <f t="shared" si="2"/>
        <v>5000</v>
      </c>
      <c r="I11" s="7">
        <f t="shared" si="2"/>
        <v>5000</v>
      </c>
      <c r="J11" s="7">
        <f t="shared" si="2"/>
        <v>5000</v>
      </c>
      <c r="K11" s="7">
        <f t="shared" si="2"/>
        <v>5000</v>
      </c>
      <c r="L11" s="7">
        <f t="shared" si="2"/>
        <v>5000</v>
      </c>
      <c r="M11" s="7">
        <f t="shared" si="2"/>
        <v>5000</v>
      </c>
      <c r="N11" s="7">
        <f t="shared" si="2"/>
        <v>5000</v>
      </c>
      <c r="O11" s="7">
        <f t="shared" si="2"/>
        <v>5000</v>
      </c>
      <c r="P11" s="7">
        <f t="shared" si="2"/>
        <v>5000</v>
      </c>
      <c r="Q11" s="7">
        <f t="shared" si="2"/>
        <v>5000</v>
      </c>
      <c r="S11" s="7">
        <f t="shared" si="8"/>
        <v>15000</v>
      </c>
      <c r="T11" s="7">
        <f t="shared" si="9"/>
        <v>15000</v>
      </c>
      <c r="U11" s="7">
        <f t="shared" si="10"/>
        <v>15000</v>
      </c>
      <c r="V11" s="7">
        <f t="shared" si="11"/>
        <v>15000</v>
      </c>
      <c r="X11" s="7">
        <f t="shared" si="12"/>
        <v>60000</v>
      </c>
    </row>
    <row r="12" spans="3:24" x14ac:dyDescent="0.2">
      <c r="C12" s="28" t="s">
        <v>192</v>
      </c>
      <c r="D12" s="28" t="s">
        <v>193</v>
      </c>
      <c r="E12" s="32">
        <v>180000</v>
      </c>
      <c r="F12" s="7">
        <f t="shared" si="1"/>
        <v>15000</v>
      </c>
      <c r="G12" s="7">
        <f t="shared" si="2"/>
        <v>15000</v>
      </c>
      <c r="H12" s="7">
        <f t="shared" si="2"/>
        <v>15000</v>
      </c>
      <c r="I12" s="7">
        <f t="shared" si="2"/>
        <v>15000</v>
      </c>
      <c r="J12" s="7">
        <f t="shared" si="2"/>
        <v>15000</v>
      </c>
      <c r="K12" s="7">
        <f t="shared" si="2"/>
        <v>15000</v>
      </c>
      <c r="L12" s="7">
        <f t="shared" si="2"/>
        <v>15000</v>
      </c>
      <c r="M12" s="7">
        <f t="shared" si="2"/>
        <v>15000</v>
      </c>
      <c r="N12" s="7">
        <f t="shared" si="2"/>
        <v>15000</v>
      </c>
      <c r="O12" s="7">
        <f t="shared" si="2"/>
        <v>15000</v>
      </c>
      <c r="P12" s="7">
        <f t="shared" si="2"/>
        <v>15000</v>
      </c>
      <c r="Q12" s="7">
        <f t="shared" si="2"/>
        <v>15000</v>
      </c>
      <c r="S12" s="7">
        <f t="shared" si="8"/>
        <v>45000</v>
      </c>
      <c r="T12" s="7">
        <f t="shared" si="9"/>
        <v>45000</v>
      </c>
      <c r="U12" s="7">
        <f t="shared" si="10"/>
        <v>45000</v>
      </c>
      <c r="V12" s="7">
        <f t="shared" si="11"/>
        <v>45000</v>
      </c>
      <c r="X12" s="7">
        <f t="shared" si="12"/>
        <v>180000</v>
      </c>
    </row>
    <row r="13" spans="3:24" x14ac:dyDescent="0.2">
      <c r="C13" s="28" t="s">
        <v>194</v>
      </c>
      <c r="D13" s="28" t="s">
        <v>195</v>
      </c>
      <c r="E13" s="32">
        <v>180000</v>
      </c>
      <c r="F13" s="7">
        <f t="shared" si="1"/>
        <v>15000</v>
      </c>
      <c r="G13" s="7">
        <f t="shared" si="2"/>
        <v>15000</v>
      </c>
      <c r="H13" s="7">
        <f t="shared" si="2"/>
        <v>15000</v>
      </c>
      <c r="I13" s="7">
        <f t="shared" si="2"/>
        <v>15000</v>
      </c>
      <c r="J13" s="7">
        <f t="shared" si="2"/>
        <v>15000</v>
      </c>
      <c r="K13" s="7">
        <f t="shared" si="2"/>
        <v>15000</v>
      </c>
      <c r="L13" s="7">
        <f t="shared" si="2"/>
        <v>15000</v>
      </c>
      <c r="M13" s="7">
        <f t="shared" si="2"/>
        <v>15000</v>
      </c>
      <c r="N13" s="7">
        <f t="shared" si="2"/>
        <v>15000</v>
      </c>
      <c r="O13" s="7">
        <f t="shared" si="2"/>
        <v>15000</v>
      </c>
      <c r="P13" s="7">
        <f t="shared" si="2"/>
        <v>15000</v>
      </c>
      <c r="Q13" s="7">
        <f t="shared" si="2"/>
        <v>15000</v>
      </c>
      <c r="S13" s="7">
        <f t="shared" si="8"/>
        <v>45000</v>
      </c>
      <c r="T13" s="7">
        <f t="shared" si="9"/>
        <v>45000</v>
      </c>
      <c r="U13" s="7">
        <f t="shared" si="10"/>
        <v>45000</v>
      </c>
      <c r="V13" s="7">
        <f t="shared" si="11"/>
        <v>45000</v>
      </c>
      <c r="X13" s="7">
        <f t="shared" si="12"/>
        <v>180000</v>
      </c>
    </row>
    <row r="14" spans="3:24" x14ac:dyDescent="0.2">
      <c r="C14" s="28" t="s">
        <v>135</v>
      </c>
      <c r="D14" s="28" t="s">
        <v>193</v>
      </c>
      <c r="E14" s="32">
        <v>90000</v>
      </c>
      <c r="F14" s="7">
        <f t="shared" si="1"/>
        <v>7500</v>
      </c>
      <c r="G14" s="7">
        <f t="shared" si="2"/>
        <v>7500</v>
      </c>
      <c r="H14" s="7">
        <f t="shared" si="2"/>
        <v>7500</v>
      </c>
      <c r="I14" s="7">
        <f t="shared" si="2"/>
        <v>7500</v>
      </c>
      <c r="J14" s="7">
        <f t="shared" si="2"/>
        <v>7500</v>
      </c>
      <c r="K14" s="7">
        <f t="shared" si="2"/>
        <v>7500</v>
      </c>
      <c r="L14" s="7">
        <f t="shared" si="2"/>
        <v>7500</v>
      </c>
      <c r="M14" s="7">
        <f t="shared" si="2"/>
        <v>7500</v>
      </c>
      <c r="N14" s="7">
        <f t="shared" si="2"/>
        <v>7500</v>
      </c>
      <c r="O14" s="7">
        <f t="shared" si="2"/>
        <v>7500</v>
      </c>
      <c r="P14" s="7">
        <f t="shared" si="2"/>
        <v>7500</v>
      </c>
      <c r="Q14" s="7">
        <f t="shared" si="2"/>
        <v>7500</v>
      </c>
      <c r="S14" s="7">
        <f t="shared" si="3"/>
        <v>22500</v>
      </c>
      <c r="T14" s="7">
        <f t="shared" si="4"/>
        <v>22500</v>
      </c>
      <c r="U14" s="7">
        <f t="shared" si="5"/>
        <v>22500</v>
      </c>
      <c r="V14" s="7">
        <f t="shared" si="6"/>
        <v>22500</v>
      </c>
      <c r="X14" s="7">
        <f t="shared" si="7"/>
        <v>90000</v>
      </c>
    </row>
    <row r="15" spans="3:24" x14ac:dyDescent="0.2">
      <c r="C15" s="28" t="s">
        <v>136</v>
      </c>
      <c r="D15" s="28" t="s">
        <v>193</v>
      </c>
      <c r="E15" s="32">
        <v>90000</v>
      </c>
      <c r="F15" s="7">
        <f t="shared" si="1"/>
        <v>7500</v>
      </c>
      <c r="G15" s="7">
        <f t="shared" si="2"/>
        <v>7500</v>
      </c>
      <c r="H15" s="7">
        <f t="shared" si="2"/>
        <v>7500</v>
      </c>
      <c r="I15" s="7">
        <f t="shared" si="2"/>
        <v>7500</v>
      </c>
      <c r="J15" s="7">
        <f t="shared" si="2"/>
        <v>7500</v>
      </c>
      <c r="K15" s="7">
        <f t="shared" si="2"/>
        <v>7500</v>
      </c>
      <c r="L15" s="7">
        <f t="shared" si="2"/>
        <v>7500</v>
      </c>
      <c r="M15" s="7">
        <f t="shared" si="2"/>
        <v>7500</v>
      </c>
      <c r="N15" s="7">
        <f t="shared" si="2"/>
        <v>7500</v>
      </c>
      <c r="O15" s="7">
        <f t="shared" si="2"/>
        <v>7500</v>
      </c>
      <c r="P15" s="7">
        <f t="shared" si="2"/>
        <v>7500</v>
      </c>
      <c r="Q15" s="7">
        <f t="shared" si="2"/>
        <v>7500</v>
      </c>
      <c r="S15" s="7">
        <f t="shared" si="3"/>
        <v>22500</v>
      </c>
      <c r="T15" s="7">
        <f t="shared" si="4"/>
        <v>22500</v>
      </c>
      <c r="U15" s="7">
        <f t="shared" si="5"/>
        <v>22500</v>
      </c>
      <c r="V15" s="7">
        <f t="shared" si="6"/>
        <v>22500</v>
      </c>
      <c r="X15" s="7">
        <f t="shared" si="7"/>
        <v>90000</v>
      </c>
    </row>
    <row r="16" spans="3:24" x14ac:dyDescent="0.2">
      <c r="C16" s="28" t="s">
        <v>137</v>
      </c>
      <c r="D16" s="28" t="s">
        <v>196</v>
      </c>
      <c r="E16" s="32">
        <v>65000</v>
      </c>
      <c r="F16" s="7">
        <f t="shared" si="1"/>
        <v>5416.666666666667</v>
      </c>
      <c r="G16" s="7">
        <f t="shared" si="2"/>
        <v>5416.666666666667</v>
      </c>
      <c r="H16" s="7">
        <f t="shared" si="2"/>
        <v>5416.666666666667</v>
      </c>
      <c r="I16" s="7">
        <f t="shared" si="2"/>
        <v>5416.666666666667</v>
      </c>
      <c r="J16" s="7">
        <f t="shared" si="2"/>
        <v>5416.666666666667</v>
      </c>
      <c r="K16" s="7">
        <f t="shared" si="2"/>
        <v>5416.666666666667</v>
      </c>
      <c r="L16" s="7">
        <f t="shared" si="2"/>
        <v>5416.666666666667</v>
      </c>
      <c r="M16" s="7">
        <f t="shared" si="2"/>
        <v>5416.666666666667</v>
      </c>
      <c r="N16" s="7">
        <f t="shared" si="2"/>
        <v>5416.666666666667</v>
      </c>
      <c r="O16" s="7">
        <f t="shared" si="2"/>
        <v>5416.666666666667</v>
      </c>
      <c r="P16" s="7">
        <f t="shared" si="2"/>
        <v>5416.666666666667</v>
      </c>
      <c r="Q16" s="7">
        <f t="shared" si="2"/>
        <v>5416.666666666667</v>
      </c>
      <c r="S16" s="7">
        <f t="shared" si="3"/>
        <v>16250</v>
      </c>
      <c r="T16" s="7">
        <f t="shared" si="4"/>
        <v>16250</v>
      </c>
      <c r="U16" s="7">
        <f t="shared" si="5"/>
        <v>16250</v>
      </c>
      <c r="V16" s="7">
        <f t="shared" si="6"/>
        <v>16250</v>
      </c>
      <c r="X16" s="7">
        <f t="shared" si="7"/>
        <v>65000</v>
      </c>
    </row>
    <row r="17" spans="3:24" x14ac:dyDescent="0.2">
      <c r="C17" s="17" t="s">
        <v>197</v>
      </c>
      <c r="D17" s="17"/>
      <c r="E17" s="31"/>
      <c r="F17" s="18">
        <f t="shared" ref="F17:Q17" si="13">SUM(F7:F16)</f>
        <v>94333.333333333343</v>
      </c>
      <c r="G17" s="18">
        <f t="shared" si="13"/>
        <v>92666.666666666672</v>
      </c>
      <c r="H17" s="18">
        <f t="shared" si="13"/>
        <v>92666.666666666672</v>
      </c>
      <c r="I17" s="18">
        <f t="shared" si="13"/>
        <v>92666.666666666672</v>
      </c>
      <c r="J17" s="18">
        <f t="shared" si="13"/>
        <v>92666.666666666672</v>
      </c>
      <c r="K17" s="18">
        <f t="shared" si="13"/>
        <v>92666.666666666672</v>
      </c>
      <c r="L17" s="18">
        <f t="shared" si="13"/>
        <v>92666.666666666672</v>
      </c>
      <c r="M17" s="18">
        <f t="shared" si="13"/>
        <v>92666.666666666672</v>
      </c>
      <c r="N17" s="18">
        <f t="shared" si="13"/>
        <v>92666.666666666672</v>
      </c>
      <c r="O17" s="18">
        <f t="shared" si="13"/>
        <v>92666.666666666672</v>
      </c>
      <c r="P17" s="18">
        <f t="shared" si="13"/>
        <v>92666.666666666672</v>
      </c>
      <c r="Q17" s="18">
        <f t="shared" si="13"/>
        <v>92666.666666666672</v>
      </c>
      <c r="S17" s="18">
        <f>SUM(S7:S16)</f>
        <v>279666.66666666669</v>
      </c>
      <c r="T17" s="18">
        <f>SUM(T7:T16)</f>
        <v>278000</v>
      </c>
      <c r="U17" s="18">
        <f>SUM(U7:U16)</f>
        <v>278000</v>
      </c>
      <c r="V17" s="18">
        <f>SUM(V7:V16)</f>
        <v>278000</v>
      </c>
      <c r="X17" s="18">
        <f>SUM(X7:X16)</f>
        <v>1113666.6666666667</v>
      </c>
    </row>
    <row r="18" spans="3:24" ht="6" customHeight="1" x14ac:dyDescent="0.2"/>
    <row r="19" spans="3:24" x14ac:dyDescent="0.2">
      <c r="C19" s="1" t="s">
        <v>198</v>
      </c>
      <c r="F19" s="7">
        <f>F17*F20</f>
        <v>11428.977950973951</v>
      </c>
      <c r="G19" s="7">
        <f t="shared" ref="G19:Q19" si="14">G17*G20</f>
        <v>11227.043387581254</v>
      </c>
      <c r="H19" s="7">
        <f t="shared" si="14"/>
        <v>7849.4597965322127</v>
      </c>
      <c r="I19" s="7">
        <f t="shared" si="14"/>
        <v>7849.453712715881</v>
      </c>
      <c r="J19" s="7">
        <f t="shared" si="14"/>
        <v>7849.4591024337187</v>
      </c>
      <c r="K19" s="7">
        <f t="shared" si="14"/>
        <v>7225.20945701656</v>
      </c>
      <c r="L19" s="7">
        <f t="shared" si="14"/>
        <v>7181.4271473718718</v>
      </c>
      <c r="M19" s="7">
        <f t="shared" si="14"/>
        <v>7181.4271473718709</v>
      </c>
      <c r="N19" s="7">
        <f t="shared" si="14"/>
        <v>7181.4271473718709</v>
      </c>
      <c r="O19" s="7">
        <f t="shared" si="14"/>
        <v>7181.4271473718709</v>
      </c>
      <c r="P19" s="7">
        <f t="shared" si="14"/>
        <v>7181.4271473718709</v>
      </c>
      <c r="Q19" s="7">
        <f t="shared" si="14"/>
        <v>7181.4271473718709</v>
      </c>
      <c r="S19" s="7">
        <f t="shared" ref="S19" si="15">SUM(F19:H19)</f>
        <v>30505.481135087419</v>
      </c>
      <c r="T19" s="7">
        <f t="shared" ref="T19" si="16">SUM(I19:K19)</f>
        <v>22924.122272166162</v>
      </c>
      <c r="U19" s="7">
        <f t="shared" ref="U19" si="17">SUM(L19:N19)</f>
        <v>21544.281442115614</v>
      </c>
      <c r="V19" s="7">
        <f t="shared" ref="V19" si="18">SUM(O19:Q19)</f>
        <v>21544.281442115614</v>
      </c>
      <c r="X19" s="7">
        <f t="shared" ref="X19" si="19">SUM(S19:V19)</f>
        <v>96518.166291484813</v>
      </c>
    </row>
    <row r="20" spans="3:24" s="15" customFormat="1" ht="13" x14ac:dyDescent="0.2">
      <c r="C20" s="15" t="s">
        <v>199</v>
      </c>
      <c r="E20" s="33"/>
      <c r="F20" s="34">
        <v>0.12115524329654363</v>
      </c>
      <c r="G20" s="34">
        <v>0.1211551444703013</v>
      </c>
      <c r="H20" s="34">
        <v>8.4706400682002289E-2</v>
      </c>
      <c r="I20" s="34">
        <v>8.4706335029308064E-2</v>
      </c>
      <c r="J20" s="34">
        <v>8.4706393191730775E-2</v>
      </c>
      <c r="K20" s="34">
        <v>7.7969886226797402E-2</v>
      </c>
      <c r="L20" s="34">
        <v>7.7497415259408689E-2</v>
      </c>
      <c r="M20" s="34">
        <v>7.7497415259408675E-2</v>
      </c>
      <c r="N20" s="34">
        <v>7.7497415259408675E-2</v>
      </c>
      <c r="O20" s="34">
        <v>7.7497415259408675E-2</v>
      </c>
      <c r="P20" s="34">
        <v>7.7497415259408675E-2</v>
      </c>
      <c r="Q20" s="34">
        <v>7.7497415259408675E-2</v>
      </c>
    </row>
    <row r="21" spans="3:24" ht="6" customHeight="1" x14ac:dyDescent="0.2"/>
    <row r="22" spans="3:24" x14ac:dyDescent="0.2">
      <c r="C22" s="1" t="s">
        <v>200</v>
      </c>
      <c r="F22" s="7">
        <f>F17*F23</f>
        <v>773.53333333333353</v>
      </c>
      <c r="G22" s="7">
        <f t="shared" ref="G22:Q22" si="20">G17*G23</f>
        <v>759.86666666666679</v>
      </c>
      <c r="H22" s="7">
        <f t="shared" si="20"/>
        <v>759.86666666666679</v>
      </c>
      <c r="I22" s="7">
        <f t="shared" si="20"/>
        <v>759.86666666666679</v>
      </c>
      <c r="J22" s="7">
        <f t="shared" si="20"/>
        <v>759.86666666666679</v>
      </c>
      <c r="K22" s="7">
        <f t="shared" si="20"/>
        <v>759.86666666666679</v>
      </c>
      <c r="L22" s="7">
        <f t="shared" si="20"/>
        <v>759.86666666666679</v>
      </c>
      <c r="M22" s="7">
        <f t="shared" si="20"/>
        <v>759.86666666666679</v>
      </c>
      <c r="N22" s="7">
        <f t="shared" si="20"/>
        <v>759.86666666666679</v>
      </c>
      <c r="O22" s="7">
        <f t="shared" si="20"/>
        <v>759.86666666666679</v>
      </c>
      <c r="P22" s="7">
        <f t="shared" si="20"/>
        <v>759.86666666666679</v>
      </c>
      <c r="Q22" s="7">
        <f t="shared" si="20"/>
        <v>759.86666666666679</v>
      </c>
      <c r="S22" s="7">
        <f t="shared" ref="S22" si="21">SUM(F22:H22)</f>
        <v>2293.2666666666673</v>
      </c>
      <c r="T22" s="7">
        <f t="shared" ref="T22" si="22">SUM(I22:K22)</f>
        <v>2279.6000000000004</v>
      </c>
      <c r="U22" s="7">
        <f t="shared" ref="U22" si="23">SUM(L22:N22)</f>
        <v>2279.6000000000004</v>
      </c>
      <c r="V22" s="7">
        <f t="shared" ref="V22" si="24">SUM(O22:Q22)</f>
        <v>2279.6000000000004</v>
      </c>
      <c r="X22" s="7">
        <f t="shared" ref="X22" si="25">SUM(S22:V22)</f>
        <v>9132.0666666666693</v>
      </c>
    </row>
    <row r="23" spans="3:24" s="15" customFormat="1" ht="13" x14ac:dyDescent="0.2">
      <c r="C23" s="15" t="s">
        <v>199</v>
      </c>
      <c r="E23" s="33"/>
      <c r="F23" s="34">
        <v>8.2000000000000007E-3</v>
      </c>
      <c r="G23" s="34">
        <v>8.2000000000000007E-3</v>
      </c>
      <c r="H23" s="34">
        <v>8.2000000000000007E-3</v>
      </c>
      <c r="I23" s="34">
        <v>8.2000000000000007E-3</v>
      </c>
      <c r="J23" s="34">
        <v>8.2000000000000007E-3</v>
      </c>
      <c r="K23" s="34">
        <v>8.2000000000000007E-3</v>
      </c>
      <c r="L23" s="34">
        <v>8.2000000000000007E-3</v>
      </c>
      <c r="M23" s="34">
        <v>8.2000000000000007E-3</v>
      </c>
      <c r="N23" s="34">
        <v>8.2000000000000007E-3</v>
      </c>
      <c r="O23" s="34">
        <v>8.2000000000000007E-3</v>
      </c>
      <c r="P23" s="34">
        <v>8.2000000000000007E-3</v>
      </c>
      <c r="Q23" s="34">
        <v>8.2000000000000007E-3</v>
      </c>
    </row>
    <row r="24" spans="3:24" ht="6" customHeight="1" x14ac:dyDescent="0.2"/>
    <row r="25" spans="3:24" x14ac:dyDescent="0.2">
      <c r="C25" s="1" t="s">
        <v>201</v>
      </c>
      <c r="E25" s="32">
        <v>350</v>
      </c>
      <c r="F25" s="41">
        <v>0</v>
      </c>
      <c r="G25" s="41">
        <v>0</v>
      </c>
      <c r="H25" s="41">
        <v>0</v>
      </c>
      <c r="I25" s="7">
        <f t="shared" ref="I25:Q25" si="26">$E25*COUNTIFS(I$7:I$16,"&gt;"&amp;0)</f>
        <v>3500</v>
      </c>
      <c r="J25" s="7">
        <f t="shared" si="26"/>
        <v>3500</v>
      </c>
      <c r="K25" s="7">
        <f t="shared" si="26"/>
        <v>3500</v>
      </c>
      <c r="L25" s="7">
        <f t="shared" si="26"/>
        <v>3500</v>
      </c>
      <c r="M25" s="7">
        <f t="shared" si="26"/>
        <v>3500</v>
      </c>
      <c r="N25" s="7">
        <f t="shared" si="26"/>
        <v>3500</v>
      </c>
      <c r="O25" s="7">
        <f t="shared" si="26"/>
        <v>3500</v>
      </c>
      <c r="P25" s="7">
        <f t="shared" si="26"/>
        <v>3500</v>
      </c>
      <c r="Q25" s="7">
        <f t="shared" si="26"/>
        <v>3500</v>
      </c>
      <c r="S25" s="7">
        <f t="shared" ref="S25" si="27">SUM(F25:H25)</f>
        <v>0</v>
      </c>
      <c r="T25" s="7">
        <f t="shared" ref="T25" si="28">SUM(I25:K25)</f>
        <v>10500</v>
      </c>
      <c r="U25" s="7">
        <f t="shared" ref="U25" si="29">SUM(L25:N25)</f>
        <v>10500</v>
      </c>
      <c r="V25" s="7">
        <f t="shared" ref="V25" si="30">SUM(O25:Q25)</f>
        <v>10500</v>
      </c>
      <c r="X25" s="7">
        <f t="shared" ref="X25" si="31">SUM(S25:V25)</f>
        <v>31500</v>
      </c>
    </row>
    <row r="26" spans="3:24" ht="6" customHeight="1" x14ac:dyDescent="0.2"/>
    <row r="27" spans="3:24" x14ac:dyDescent="0.2">
      <c r="C27" s="1" t="s">
        <v>202</v>
      </c>
      <c r="E27" s="110">
        <v>0</v>
      </c>
      <c r="F27" s="56">
        <f>F17*$E27</f>
        <v>0</v>
      </c>
      <c r="G27" s="56">
        <f t="shared" ref="G27:Q27" si="32">G17*$E27</f>
        <v>0</v>
      </c>
      <c r="H27" s="56">
        <f t="shared" si="32"/>
        <v>0</v>
      </c>
      <c r="I27" s="56">
        <f t="shared" si="32"/>
        <v>0</v>
      </c>
      <c r="J27" s="56">
        <f t="shared" si="32"/>
        <v>0</v>
      </c>
      <c r="K27" s="56">
        <f t="shared" si="32"/>
        <v>0</v>
      </c>
      <c r="L27" s="56">
        <f t="shared" si="32"/>
        <v>0</v>
      </c>
      <c r="M27" s="56">
        <f t="shared" si="32"/>
        <v>0</v>
      </c>
      <c r="N27" s="56">
        <f t="shared" si="32"/>
        <v>0</v>
      </c>
      <c r="O27" s="56">
        <f t="shared" si="32"/>
        <v>0</v>
      </c>
      <c r="P27" s="56">
        <f t="shared" si="32"/>
        <v>0</v>
      </c>
      <c r="Q27" s="56">
        <f t="shared" si="32"/>
        <v>0</v>
      </c>
      <c r="S27" s="7">
        <f t="shared" ref="S27" si="33">SUM(F27:H27)</f>
        <v>0</v>
      </c>
      <c r="T27" s="7">
        <f t="shared" ref="T27" si="34">SUM(I27:K27)</f>
        <v>0</v>
      </c>
      <c r="U27" s="7">
        <f t="shared" ref="U27" si="35">SUM(L27:N27)</f>
        <v>0</v>
      </c>
      <c r="V27" s="7">
        <f t="shared" ref="V27" si="36">SUM(O27:Q27)</f>
        <v>0</v>
      </c>
      <c r="X27" s="7">
        <f t="shared" ref="X27" si="37">SUM(S27:V27)</f>
        <v>0</v>
      </c>
    </row>
    <row r="28" spans="3:24" ht="6" customHeight="1" x14ac:dyDescent="0.2"/>
    <row r="29" spans="3:24" ht="15" thickBot="1" x14ac:dyDescent="0.25">
      <c r="C29" s="17" t="s">
        <v>203</v>
      </c>
      <c r="D29" s="17"/>
      <c r="E29" s="31"/>
      <c r="F29" s="25">
        <f>F17+F19+F22+F25+F27</f>
        <v>106535.84461764063</v>
      </c>
      <c r="G29" s="25">
        <f t="shared" ref="G29:Q29" si="38">G17+G19+G22+G25+G27</f>
        <v>104653.5767209146</v>
      </c>
      <c r="H29" s="25">
        <f t="shared" si="38"/>
        <v>101275.99312986556</v>
      </c>
      <c r="I29" s="25">
        <f t="shared" si="38"/>
        <v>104775.98704604922</v>
      </c>
      <c r="J29" s="25">
        <f t="shared" si="38"/>
        <v>104775.99243576705</v>
      </c>
      <c r="K29" s="25">
        <f t="shared" si="38"/>
        <v>104151.7427903499</v>
      </c>
      <c r="L29" s="25">
        <f t="shared" si="38"/>
        <v>104107.96048070521</v>
      </c>
      <c r="M29" s="25">
        <f t="shared" si="38"/>
        <v>104107.96048070521</v>
      </c>
      <c r="N29" s="25">
        <f t="shared" si="38"/>
        <v>104107.96048070521</v>
      </c>
      <c r="O29" s="25">
        <f t="shared" si="38"/>
        <v>104107.96048070521</v>
      </c>
      <c r="P29" s="25">
        <f t="shared" si="38"/>
        <v>104107.96048070521</v>
      </c>
      <c r="Q29" s="25">
        <f t="shared" si="38"/>
        <v>104107.96048070521</v>
      </c>
      <c r="R29" s="17"/>
      <c r="S29" s="25">
        <f t="shared" ref="S29:V29" si="39">S17+S19+S22+S25+S27</f>
        <v>312465.41446842079</v>
      </c>
      <c r="T29" s="25">
        <f t="shared" si="39"/>
        <v>313703.72227216617</v>
      </c>
      <c r="U29" s="25">
        <f t="shared" si="39"/>
        <v>312323.88144211558</v>
      </c>
      <c r="V29" s="25">
        <f t="shared" si="39"/>
        <v>312323.88144211558</v>
      </c>
      <c r="W29" s="17"/>
      <c r="X29" s="25">
        <f>X17+X19+X22+X25+X27</f>
        <v>1250816.8996248182</v>
      </c>
    </row>
    <row r="30" spans="3:24" ht="6" customHeight="1" x14ac:dyDescent="0.2"/>
    <row r="31" spans="3:24" x14ac:dyDescent="0.2">
      <c r="C31" s="17" t="s">
        <v>204</v>
      </c>
    </row>
    <row r="32" spans="3:24" x14ac:dyDescent="0.2">
      <c r="C32" s="19" t="s">
        <v>131</v>
      </c>
      <c r="F32" s="54">
        <f>Labor!F$36*INDEX(Labor!$E$7:$E$15,MATCH('Salaries, Wages, &amp; Benefits'!$C32,Labor!$C$7:$C$15,0),1)</f>
        <v>0</v>
      </c>
      <c r="G32" s="54">
        <f>Labor!G$36*INDEX(Labor!$E$7:$E$15,MATCH('Salaries, Wages, &amp; Benefits'!$C32,Labor!$C$7:$C$15,0),1)</f>
        <v>0.15000000000000002</v>
      </c>
      <c r="H32" s="54">
        <f>Labor!H$36*INDEX(Labor!$E$7:$E$15,MATCH('Salaries, Wages, &amp; Benefits'!$C32,Labor!$C$7:$C$15,0),1)</f>
        <v>0.15000000000000002</v>
      </c>
      <c r="I32" s="54">
        <f>Labor!I$36*INDEX(Labor!$E$7:$E$15,MATCH('Salaries, Wages, &amp; Benefits'!$C32,Labor!$C$7:$C$15,0),1)</f>
        <v>10.600000000000001</v>
      </c>
      <c r="J32" s="54">
        <f>Labor!J$36*INDEX(Labor!$E$7:$E$15,MATCH('Salaries, Wages, &amp; Benefits'!$C32,Labor!$C$7:$C$15,0),1)</f>
        <v>21.05</v>
      </c>
      <c r="K32" s="54">
        <f>Labor!K$36*INDEX(Labor!$E$7:$E$15,MATCH('Salaries, Wages, &amp; Benefits'!$C32,Labor!$C$7:$C$15,0),1)</f>
        <v>31.35</v>
      </c>
      <c r="L32" s="54">
        <f>Labor!L$36*INDEX(Labor!$E$7:$E$15,MATCH('Salaries, Wages, &amp; Benefits'!$C32,Labor!$C$7:$C$15,0),1)</f>
        <v>62.400000000000006</v>
      </c>
      <c r="M32" s="54">
        <f>Labor!M$36*INDEX(Labor!$E$7:$E$15,MATCH('Salaries, Wages, &amp; Benefits'!$C32,Labor!$C$7:$C$15,0),1)</f>
        <v>113.30000000000001</v>
      </c>
      <c r="N32" s="54">
        <f>Labor!N$36*INDEX(Labor!$E$7:$E$15,MATCH('Salaries, Wages, &amp; Benefits'!$C32,Labor!$C$7:$C$15,0),1)</f>
        <v>174.35000000000002</v>
      </c>
      <c r="O32" s="54">
        <f>Labor!O$36*INDEX(Labor!$E$7:$E$15,MATCH('Salaries, Wages, &amp; Benefits'!$C32,Labor!$C$7:$C$15,0),1)</f>
        <v>276</v>
      </c>
      <c r="P32" s="54">
        <f>Labor!P$36*INDEX(Labor!$E$7:$E$15,MATCH('Salaries, Wages, &amp; Benefits'!$C32,Labor!$C$7:$C$15,0),1)</f>
        <v>387.8</v>
      </c>
      <c r="Q32" s="54">
        <f>Labor!Q$36*INDEX(Labor!$E$7:$E$15,MATCH('Salaries, Wages, &amp; Benefits'!$C32,Labor!$C$7:$C$15,0),1)</f>
        <v>509.75</v>
      </c>
      <c r="S32" s="44">
        <f t="shared" ref="S32:S38" si="40">SUM(F32:H32)</f>
        <v>0.30000000000000004</v>
      </c>
      <c r="T32" s="44">
        <f t="shared" ref="T32:T38" si="41">SUM(I32:K32)</f>
        <v>63</v>
      </c>
      <c r="U32" s="44">
        <f t="shared" ref="U32:U38" si="42">SUM(L32:N32)</f>
        <v>350.05000000000007</v>
      </c>
      <c r="V32" s="44">
        <f t="shared" ref="V32:V38" si="43">SUM(O32:Q32)</f>
        <v>1173.55</v>
      </c>
      <c r="W32" s="44"/>
      <c r="X32" s="44">
        <f t="shared" ref="X32:X38" si="44">SUM(S32:V32)</f>
        <v>1586.9</v>
      </c>
    </row>
    <row r="33" spans="3:24" x14ac:dyDescent="0.2">
      <c r="C33" s="19" t="s">
        <v>132</v>
      </c>
      <c r="F33" s="54">
        <f>Labor!F$36*INDEX(Labor!$E$7:$E$15,MATCH('Salaries, Wages, &amp; Benefits'!$C33,Labor!$C$7:$C$15,0),1)</f>
        <v>0</v>
      </c>
      <c r="G33" s="54">
        <f>Labor!G$36*INDEX(Labor!$E$7:$E$15,MATCH('Salaries, Wages, &amp; Benefits'!$C33,Labor!$C$7:$C$15,0),1)</f>
        <v>0.15000000000000002</v>
      </c>
      <c r="H33" s="54">
        <f>Labor!H$36*INDEX(Labor!$E$7:$E$15,MATCH('Salaries, Wages, &amp; Benefits'!$C33,Labor!$C$7:$C$15,0),1)</f>
        <v>0.15000000000000002</v>
      </c>
      <c r="I33" s="54">
        <f>Labor!I$36*INDEX(Labor!$E$7:$E$15,MATCH('Salaries, Wages, &amp; Benefits'!$C33,Labor!$C$7:$C$15,0),1)</f>
        <v>10.600000000000001</v>
      </c>
      <c r="J33" s="54">
        <f>Labor!J$36*INDEX(Labor!$E$7:$E$15,MATCH('Salaries, Wages, &amp; Benefits'!$C33,Labor!$C$7:$C$15,0),1)</f>
        <v>21.05</v>
      </c>
      <c r="K33" s="54">
        <f>Labor!K$36*INDEX(Labor!$E$7:$E$15,MATCH('Salaries, Wages, &amp; Benefits'!$C33,Labor!$C$7:$C$15,0),1)</f>
        <v>31.35</v>
      </c>
      <c r="L33" s="54">
        <f>Labor!L$36*INDEX(Labor!$E$7:$E$15,MATCH('Salaries, Wages, &amp; Benefits'!$C33,Labor!$C$7:$C$15,0),1)</f>
        <v>62.400000000000006</v>
      </c>
      <c r="M33" s="54">
        <f>Labor!M$36*INDEX(Labor!$E$7:$E$15,MATCH('Salaries, Wages, &amp; Benefits'!$C33,Labor!$C$7:$C$15,0),1)</f>
        <v>113.30000000000001</v>
      </c>
      <c r="N33" s="54">
        <f>Labor!N$36*INDEX(Labor!$E$7:$E$15,MATCH('Salaries, Wages, &amp; Benefits'!$C33,Labor!$C$7:$C$15,0),1)</f>
        <v>174.35000000000002</v>
      </c>
      <c r="O33" s="54">
        <f>Labor!O$36*INDEX(Labor!$E$7:$E$15,MATCH('Salaries, Wages, &amp; Benefits'!$C33,Labor!$C$7:$C$15,0),1)</f>
        <v>276</v>
      </c>
      <c r="P33" s="54">
        <f>Labor!P$36*INDEX(Labor!$E$7:$E$15,MATCH('Salaries, Wages, &amp; Benefits'!$C33,Labor!$C$7:$C$15,0),1)</f>
        <v>387.8</v>
      </c>
      <c r="Q33" s="54">
        <f>Labor!Q$36*INDEX(Labor!$E$7:$E$15,MATCH('Salaries, Wages, &amp; Benefits'!$C33,Labor!$C$7:$C$15,0),1)</f>
        <v>509.75</v>
      </c>
      <c r="S33" s="44">
        <f t="shared" si="40"/>
        <v>0.30000000000000004</v>
      </c>
      <c r="T33" s="44">
        <f t="shared" si="41"/>
        <v>63</v>
      </c>
      <c r="U33" s="44">
        <f t="shared" si="42"/>
        <v>350.05000000000007</v>
      </c>
      <c r="V33" s="44">
        <f t="shared" si="43"/>
        <v>1173.55</v>
      </c>
      <c r="W33" s="44"/>
      <c r="X33" s="44">
        <f t="shared" si="44"/>
        <v>1586.9</v>
      </c>
    </row>
    <row r="34" spans="3:24" x14ac:dyDescent="0.2">
      <c r="C34" s="19" t="s">
        <v>133</v>
      </c>
      <c r="F34" s="54">
        <f>Labor!F$36*INDEX(Labor!$E$7:$E$15,MATCH('Salaries, Wages, &amp; Benefits'!$C34,Labor!$C$7:$C$15,0),1)</f>
        <v>0</v>
      </c>
      <c r="G34" s="54">
        <f>Labor!G$36*INDEX(Labor!$E$7:$E$15,MATCH('Salaries, Wages, &amp; Benefits'!$C34,Labor!$C$7:$C$15,0),1)</f>
        <v>0.15000000000000002</v>
      </c>
      <c r="H34" s="54">
        <f>Labor!H$36*INDEX(Labor!$E$7:$E$15,MATCH('Salaries, Wages, &amp; Benefits'!$C34,Labor!$C$7:$C$15,0),1)</f>
        <v>0.15000000000000002</v>
      </c>
      <c r="I34" s="54">
        <f>Labor!I$36*INDEX(Labor!$E$7:$E$15,MATCH('Salaries, Wages, &amp; Benefits'!$C34,Labor!$C$7:$C$15,0),1)</f>
        <v>10.600000000000001</v>
      </c>
      <c r="J34" s="54">
        <f>Labor!J$36*INDEX(Labor!$E$7:$E$15,MATCH('Salaries, Wages, &amp; Benefits'!$C34,Labor!$C$7:$C$15,0),1)</f>
        <v>21.05</v>
      </c>
      <c r="K34" s="54">
        <f>Labor!K$36*INDEX(Labor!$E$7:$E$15,MATCH('Salaries, Wages, &amp; Benefits'!$C34,Labor!$C$7:$C$15,0),1)</f>
        <v>31.35</v>
      </c>
      <c r="L34" s="54">
        <f>Labor!L$36*INDEX(Labor!$E$7:$E$15,MATCH('Salaries, Wages, &amp; Benefits'!$C34,Labor!$C$7:$C$15,0),1)</f>
        <v>62.400000000000006</v>
      </c>
      <c r="M34" s="54">
        <f>Labor!M$36*INDEX(Labor!$E$7:$E$15,MATCH('Salaries, Wages, &amp; Benefits'!$C34,Labor!$C$7:$C$15,0),1)</f>
        <v>113.30000000000001</v>
      </c>
      <c r="N34" s="54">
        <f>Labor!N$36*INDEX(Labor!$E$7:$E$15,MATCH('Salaries, Wages, &amp; Benefits'!$C34,Labor!$C$7:$C$15,0),1)</f>
        <v>174.35000000000002</v>
      </c>
      <c r="O34" s="54">
        <f>Labor!O$36*INDEX(Labor!$E$7:$E$15,MATCH('Salaries, Wages, &amp; Benefits'!$C34,Labor!$C$7:$C$15,0),1)</f>
        <v>276</v>
      </c>
      <c r="P34" s="54">
        <f>Labor!P$36*INDEX(Labor!$E$7:$E$15,MATCH('Salaries, Wages, &amp; Benefits'!$C34,Labor!$C$7:$C$15,0),1)</f>
        <v>387.8</v>
      </c>
      <c r="Q34" s="54">
        <f>Labor!Q$36*INDEX(Labor!$E$7:$E$15,MATCH('Salaries, Wages, &amp; Benefits'!$C34,Labor!$C$7:$C$15,0),1)</f>
        <v>509.75</v>
      </c>
      <c r="S34" s="44">
        <f t="shared" si="40"/>
        <v>0.30000000000000004</v>
      </c>
      <c r="T34" s="44">
        <f t="shared" si="41"/>
        <v>63</v>
      </c>
      <c r="U34" s="44">
        <f t="shared" si="42"/>
        <v>350.05000000000007</v>
      </c>
      <c r="V34" s="44">
        <f t="shared" si="43"/>
        <v>1173.55</v>
      </c>
      <c r="W34" s="44"/>
      <c r="X34" s="44">
        <f t="shared" si="44"/>
        <v>1586.9</v>
      </c>
    </row>
    <row r="35" spans="3:24" x14ac:dyDescent="0.2">
      <c r="C35" s="19" t="s">
        <v>134</v>
      </c>
      <c r="F35" s="54">
        <f>Labor!F$36*INDEX(Labor!$E$7:$E$15,MATCH('Salaries, Wages, &amp; Benefits'!$C35,Labor!$C$7:$C$15,0),1)</f>
        <v>0</v>
      </c>
      <c r="G35" s="54">
        <f>Labor!G$36*INDEX(Labor!$E$7:$E$15,MATCH('Salaries, Wages, &amp; Benefits'!$C35,Labor!$C$7:$C$15,0),1)</f>
        <v>0.30000000000000004</v>
      </c>
      <c r="H35" s="54">
        <f>Labor!H$36*INDEX(Labor!$E$7:$E$15,MATCH('Salaries, Wages, &amp; Benefits'!$C35,Labor!$C$7:$C$15,0),1)</f>
        <v>0.30000000000000004</v>
      </c>
      <c r="I35" s="54">
        <f>Labor!I$36*INDEX(Labor!$E$7:$E$15,MATCH('Salaries, Wages, &amp; Benefits'!$C35,Labor!$C$7:$C$15,0),1)</f>
        <v>21.200000000000003</v>
      </c>
      <c r="J35" s="54">
        <f>Labor!J$36*INDEX(Labor!$E$7:$E$15,MATCH('Salaries, Wages, &amp; Benefits'!$C35,Labor!$C$7:$C$15,0),1)</f>
        <v>42.1</v>
      </c>
      <c r="K35" s="54">
        <f>Labor!K$36*INDEX(Labor!$E$7:$E$15,MATCH('Salaries, Wages, &amp; Benefits'!$C35,Labor!$C$7:$C$15,0),1)</f>
        <v>62.7</v>
      </c>
      <c r="L35" s="54">
        <f>Labor!L$36*INDEX(Labor!$E$7:$E$15,MATCH('Salaries, Wages, &amp; Benefits'!$C35,Labor!$C$7:$C$15,0),1)</f>
        <v>124.80000000000001</v>
      </c>
      <c r="M35" s="54">
        <f>Labor!M$36*INDEX(Labor!$E$7:$E$15,MATCH('Salaries, Wages, &amp; Benefits'!$C35,Labor!$C$7:$C$15,0),1)</f>
        <v>226.60000000000002</v>
      </c>
      <c r="N35" s="54">
        <f>Labor!N$36*INDEX(Labor!$E$7:$E$15,MATCH('Salaries, Wages, &amp; Benefits'!$C35,Labor!$C$7:$C$15,0),1)</f>
        <v>348.70000000000005</v>
      </c>
      <c r="O35" s="54">
        <f>Labor!O$36*INDEX(Labor!$E$7:$E$15,MATCH('Salaries, Wages, &amp; Benefits'!$C35,Labor!$C$7:$C$15,0),1)</f>
        <v>552</v>
      </c>
      <c r="P35" s="54">
        <f>Labor!P$36*INDEX(Labor!$E$7:$E$15,MATCH('Salaries, Wages, &amp; Benefits'!$C35,Labor!$C$7:$C$15,0),1)</f>
        <v>775.6</v>
      </c>
      <c r="Q35" s="54">
        <f>Labor!Q$36*INDEX(Labor!$E$7:$E$15,MATCH('Salaries, Wages, &amp; Benefits'!$C35,Labor!$C$7:$C$15,0),1)</f>
        <v>1019.5</v>
      </c>
      <c r="S35" s="44">
        <f t="shared" si="40"/>
        <v>0.60000000000000009</v>
      </c>
      <c r="T35" s="44">
        <f t="shared" si="41"/>
        <v>126</v>
      </c>
      <c r="U35" s="44">
        <f t="shared" si="42"/>
        <v>700.10000000000014</v>
      </c>
      <c r="V35" s="44">
        <f t="shared" si="43"/>
        <v>2347.1</v>
      </c>
      <c r="W35" s="44"/>
      <c r="X35" s="44">
        <f t="shared" si="44"/>
        <v>3173.8</v>
      </c>
    </row>
    <row r="36" spans="3:24" x14ac:dyDescent="0.2">
      <c r="C36" s="19" t="s">
        <v>135</v>
      </c>
      <c r="F36" s="54">
        <f>Labor!F$36*INDEX(Labor!$E$7:$E$15,MATCH('Salaries, Wages, &amp; Benefits'!$C36,Labor!$C$7:$C$15,0),1)</f>
        <v>0</v>
      </c>
      <c r="G36" s="54">
        <f>Labor!G$36*INDEX(Labor!$E$7:$E$15,MATCH('Salaries, Wages, &amp; Benefits'!$C36,Labor!$C$7:$C$15,0),1)</f>
        <v>0.15000000000000002</v>
      </c>
      <c r="H36" s="54">
        <f>Labor!H$36*INDEX(Labor!$E$7:$E$15,MATCH('Salaries, Wages, &amp; Benefits'!$C36,Labor!$C$7:$C$15,0),1)</f>
        <v>0.15000000000000002</v>
      </c>
      <c r="I36" s="54">
        <f>Labor!I$36*INDEX(Labor!$E$7:$E$15,MATCH('Salaries, Wages, &amp; Benefits'!$C36,Labor!$C$7:$C$15,0),1)</f>
        <v>10.600000000000001</v>
      </c>
      <c r="J36" s="54">
        <f>Labor!J$36*INDEX(Labor!$E$7:$E$15,MATCH('Salaries, Wages, &amp; Benefits'!$C36,Labor!$C$7:$C$15,0),1)</f>
        <v>21.05</v>
      </c>
      <c r="K36" s="54">
        <f>Labor!K$36*INDEX(Labor!$E$7:$E$15,MATCH('Salaries, Wages, &amp; Benefits'!$C36,Labor!$C$7:$C$15,0),1)</f>
        <v>31.35</v>
      </c>
      <c r="L36" s="54">
        <f>Labor!L$36*INDEX(Labor!$E$7:$E$15,MATCH('Salaries, Wages, &amp; Benefits'!$C36,Labor!$C$7:$C$15,0),1)</f>
        <v>62.400000000000006</v>
      </c>
      <c r="M36" s="54">
        <f>Labor!M$36*INDEX(Labor!$E$7:$E$15,MATCH('Salaries, Wages, &amp; Benefits'!$C36,Labor!$C$7:$C$15,0),1)</f>
        <v>113.30000000000001</v>
      </c>
      <c r="N36" s="54">
        <f>Labor!N$36*INDEX(Labor!$E$7:$E$15,MATCH('Salaries, Wages, &amp; Benefits'!$C36,Labor!$C$7:$C$15,0),1)</f>
        <v>174.35000000000002</v>
      </c>
      <c r="O36" s="54">
        <f>Labor!O$36*INDEX(Labor!$E$7:$E$15,MATCH('Salaries, Wages, &amp; Benefits'!$C36,Labor!$C$7:$C$15,0),1)</f>
        <v>276</v>
      </c>
      <c r="P36" s="54">
        <f>Labor!P$36*INDEX(Labor!$E$7:$E$15,MATCH('Salaries, Wages, &amp; Benefits'!$C36,Labor!$C$7:$C$15,0),1)</f>
        <v>387.8</v>
      </c>
      <c r="Q36" s="54">
        <f>Labor!Q$36*INDEX(Labor!$E$7:$E$15,MATCH('Salaries, Wages, &amp; Benefits'!$C36,Labor!$C$7:$C$15,0),1)</f>
        <v>509.75</v>
      </c>
      <c r="S36" s="44">
        <f t="shared" si="40"/>
        <v>0.30000000000000004</v>
      </c>
      <c r="T36" s="44">
        <f t="shared" si="41"/>
        <v>63</v>
      </c>
      <c r="U36" s="44">
        <f t="shared" si="42"/>
        <v>350.05000000000007</v>
      </c>
      <c r="V36" s="44">
        <f t="shared" si="43"/>
        <v>1173.55</v>
      </c>
      <c r="W36" s="44"/>
      <c r="X36" s="44">
        <f t="shared" si="44"/>
        <v>1586.9</v>
      </c>
    </row>
    <row r="37" spans="3:24" x14ac:dyDescent="0.2">
      <c r="C37" s="19" t="s">
        <v>136</v>
      </c>
      <c r="F37" s="54">
        <f>Labor!F$36*INDEX(Labor!$E$7:$E$15,MATCH('Salaries, Wages, &amp; Benefits'!$C37,Labor!$C$7:$C$15,0),1)</f>
        <v>0</v>
      </c>
      <c r="G37" s="54">
        <f>Labor!G$36*INDEX(Labor!$E$7:$E$15,MATCH('Salaries, Wages, &amp; Benefits'!$C37,Labor!$C$7:$C$15,0),1)</f>
        <v>0.15000000000000002</v>
      </c>
      <c r="H37" s="54">
        <f>Labor!H$36*INDEX(Labor!$E$7:$E$15,MATCH('Salaries, Wages, &amp; Benefits'!$C37,Labor!$C$7:$C$15,0),1)</f>
        <v>0.15000000000000002</v>
      </c>
      <c r="I37" s="54">
        <f>Labor!I$36*INDEX(Labor!$E$7:$E$15,MATCH('Salaries, Wages, &amp; Benefits'!$C37,Labor!$C$7:$C$15,0),1)</f>
        <v>10.600000000000001</v>
      </c>
      <c r="J37" s="54">
        <f>Labor!J$36*INDEX(Labor!$E$7:$E$15,MATCH('Salaries, Wages, &amp; Benefits'!$C37,Labor!$C$7:$C$15,0),1)</f>
        <v>21.05</v>
      </c>
      <c r="K37" s="54">
        <f>Labor!K$36*INDEX(Labor!$E$7:$E$15,MATCH('Salaries, Wages, &amp; Benefits'!$C37,Labor!$C$7:$C$15,0),1)</f>
        <v>31.35</v>
      </c>
      <c r="L37" s="54">
        <f>Labor!L$36*INDEX(Labor!$E$7:$E$15,MATCH('Salaries, Wages, &amp; Benefits'!$C37,Labor!$C$7:$C$15,0),1)</f>
        <v>62.400000000000006</v>
      </c>
      <c r="M37" s="54">
        <f>Labor!M$36*INDEX(Labor!$E$7:$E$15,MATCH('Salaries, Wages, &amp; Benefits'!$C37,Labor!$C$7:$C$15,0),1)</f>
        <v>113.30000000000001</v>
      </c>
      <c r="N37" s="54">
        <f>Labor!N$36*INDEX(Labor!$E$7:$E$15,MATCH('Salaries, Wages, &amp; Benefits'!$C37,Labor!$C$7:$C$15,0),1)</f>
        <v>174.35000000000002</v>
      </c>
      <c r="O37" s="54">
        <f>Labor!O$36*INDEX(Labor!$E$7:$E$15,MATCH('Salaries, Wages, &amp; Benefits'!$C37,Labor!$C$7:$C$15,0),1)</f>
        <v>276</v>
      </c>
      <c r="P37" s="54">
        <f>Labor!P$36*INDEX(Labor!$E$7:$E$15,MATCH('Salaries, Wages, &amp; Benefits'!$C37,Labor!$C$7:$C$15,0),1)</f>
        <v>387.8</v>
      </c>
      <c r="Q37" s="54">
        <f>Labor!Q$36*INDEX(Labor!$E$7:$E$15,MATCH('Salaries, Wages, &amp; Benefits'!$C37,Labor!$C$7:$C$15,0),1)</f>
        <v>509.75</v>
      </c>
      <c r="S37" s="44">
        <f t="shared" si="40"/>
        <v>0.30000000000000004</v>
      </c>
      <c r="T37" s="44">
        <f t="shared" si="41"/>
        <v>63</v>
      </c>
      <c r="U37" s="44">
        <f t="shared" si="42"/>
        <v>350.05000000000007</v>
      </c>
      <c r="V37" s="44">
        <f t="shared" si="43"/>
        <v>1173.55</v>
      </c>
      <c r="W37" s="44"/>
      <c r="X37" s="44">
        <f t="shared" si="44"/>
        <v>1586.9</v>
      </c>
    </row>
    <row r="38" spans="3:24" x14ac:dyDescent="0.2">
      <c r="C38" s="19" t="s">
        <v>137</v>
      </c>
      <c r="F38" s="54">
        <f>Labor!F$36*INDEX(Labor!$E$7:$E$15,MATCH('Salaries, Wages, &amp; Benefits'!$C38,Labor!$C$7:$C$15,0),1)</f>
        <v>0</v>
      </c>
      <c r="G38" s="54">
        <f>Labor!G$36*INDEX(Labor!$E$7:$E$15,MATCH('Salaries, Wages, &amp; Benefits'!$C38,Labor!$C$7:$C$15,0),1)</f>
        <v>0.15000000000000002</v>
      </c>
      <c r="H38" s="54">
        <f>Labor!H$36*INDEX(Labor!$E$7:$E$15,MATCH('Salaries, Wages, &amp; Benefits'!$C38,Labor!$C$7:$C$15,0),1)</f>
        <v>0.15000000000000002</v>
      </c>
      <c r="I38" s="54">
        <f>Labor!I$36*INDEX(Labor!$E$7:$E$15,MATCH('Salaries, Wages, &amp; Benefits'!$C38,Labor!$C$7:$C$15,0),1)</f>
        <v>10.600000000000001</v>
      </c>
      <c r="J38" s="54">
        <f>Labor!J$36*INDEX(Labor!$E$7:$E$15,MATCH('Salaries, Wages, &amp; Benefits'!$C38,Labor!$C$7:$C$15,0),1)</f>
        <v>21.05</v>
      </c>
      <c r="K38" s="54">
        <f>Labor!K$36*INDEX(Labor!$E$7:$E$15,MATCH('Salaries, Wages, &amp; Benefits'!$C38,Labor!$C$7:$C$15,0),1)</f>
        <v>31.35</v>
      </c>
      <c r="L38" s="54">
        <f>Labor!L$36*INDEX(Labor!$E$7:$E$15,MATCH('Salaries, Wages, &amp; Benefits'!$C38,Labor!$C$7:$C$15,0),1)</f>
        <v>62.400000000000006</v>
      </c>
      <c r="M38" s="54">
        <f>Labor!M$36*INDEX(Labor!$E$7:$E$15,MATCH('Salaries, Wages, &amp; Benefits'!$C38,Labor!$C$7:$C$15,0),1)</f>
        <v>113.30000000000001</v>
      </c>
      <c r="N38" s="54">
        <f>Labor!N$36*INDEX(Labor!$E$7:$E$15,MATCH('Salaries, Wages, &amp; Benefits'!$C38,Labor!$C$7:$C$15,0),1)</f>
        <v>174.35000000000002</v>
      </c>
      <c r="O38" s="54">
        <f>Labor!O$36*INDEX(Labor!$E$7:$E$15,MATCH('Salaries, Wages, &amp; Benefits'!$C38,Labor!$C$7:$C$15,0),1)</f>
        <v>276</v>
      </c>
      <c r="P38" s="54">
        <f>Labor!P$36*INDEX(Labor!$E$7:$E$15,MATCH('Salaries, Wages, &amp; Benefits'!$C38,Labor!$C$7:$C$15,0),1)</f>
        <v>387.8</v>
      </c>
      <c r="Q38" s="54">
        <f>Labor!Q$36*INDEX(Labor!$E$7:$E$15,MATCH('Salaries, Wages, &amp; Benefits'!$C38,Labor!$C$7:$C$15,0),1)</f>
        <v>509.75</v>
      </c>
      <c r="S38" s="44">
        <f t="shared" si="40"/>
        <v>0.30000000000000004</v>
      </c>
      <c r="T38" s="44">
        <f t="shared" si="41"/>
        <v>63</v>
      </c>
      <c r="U38" s="44">
        <f t="shared" si="42"/>
        <v>350.05000000000007</v>
      </c>
      <c r="V38" s="44">
        <f t="shared" si="43"/>
        <v>1173.55</v>
      </c>
      <c r="W38" s="44"/>
      <c r="X38" s="44">
        <f t="shared" si="44"/>
        <v>1586.9</v>
      </c>
    </row>
    <row r="39" spans="3:24" x14ac:dyDescent="0.2">
      <c r="C39" s="17" t="s">
        <v>205</v>
      </c>
      <c r="F39" s="50">
        <f>SUM(F32:F38)</f>
        <v>0</v>
      </c>
      <c r="G39" s="50">
        <f t="shared" ref="G39:S39" si="45">SUM(G32:G38)</f>
        <v>1.2000000000000002</v>
      </c>
      <c r="H39" s="50">
        <f t="shared" si="45"/>
        <v>1.2000000000000002</v>
      </c>
      <c r="I39" s="50">
        <f t="shared" si="45"/>
        <v>84.800000000000011</v>
      </c>
      <c r="J39" s="50">
        <f t="shared" si="45"/>
        <v>168.4</v>
      </c>
      <c r="K39" s="50">
        <f t="shared" si="45"/>
        <v>250.79999999999998</v>
      </c>
      <c r="L39" s="50">
        <f t="shared" si="45"/>
        <v>499.19999999999993</v>
      </c>
      <c r="M39" s="50">
        <f t="shared" si="45"/>
        <v>906.39999999999986</v>
      </c>
      <c r="N39" s="50">
        <f t="shared" si="45"/>
        <v>1394.8000000000002</v>
      </c>
      <c r="O39" s="50">
        <f t="shared" si="45"/>
        <v>2208</v>
      </c>
      <c r="P39" s="50">
        <f t="shared" si="45"/>
        <v>3102.4000000000005</v>
      </c>
      <c r="Q39" s="50">
        <f t="shared" si="45"/>
        <v>4078</v>
      </c>
      <c r="S39" s="50">
        <f t="shared" si="45"/>
        <v>2.4000000000000004</v>
      </c>
      <c r="T39" s="50">
        <f t="shared" ref="T39" si="46">SUM(T32:T38)</f>
        <v>504</v>
      </c>
      <c r="U39" s="50">
        <f t="shared" ref="U39" si="47">SUM(U32:U38)</f>
        <v>2800.4000000000005</v>
      </c>
      <c r="V39" s="50">
        <f t="shared" ref="V39" si="48">SUM(V32:V38)</f>
        <v>9388.4</v>
      </c>
      <c r="X39" s="50">
        <f t="shared" ref="X39" si="49">SUM(X32:X38)</f>
        <v>12695.2</v>
      </c>
    </row>
    <row r="40" spans="3:24" s="15" customFormat="1" ht="13" x14ac:dyDescent="0.2">
      <c r="C40" s="15" t="s">
        <v>206</v>
      </c>
      <c r="E40" s="33"/>
      <c r="F40" s="72" t="str">
        <f>IFERROR(F39/Labor!F36,"nm")</f>
        <v>nm</v>
      </c>
      <c r="G40" s="72">
        <f>IFERROR(G39/Labor!G36,"nm")</f>
        <v>0.40000000000000008</v>
      </c>
      <c r="H40" s="72">
        <f>IFERROR(H39/Labor!H36,"nm")</f>
        <v>0.40000000000000008</v>
      </c>
      <c r="I40" s="72">
        <f>IFERROR(I39/Labor!I36,"nm")</f>
        <v>0.40000000000000008</v>
      </c>
      <c r="J40" s="72">
        <f>IFERROR(J39/Labor!J36,"nm")</f>
        <v>0.4</v>
      </c>
      <c r="K40" s="72">
        <f>IFERROR(K39/Labor!K36,"nm")</f>
        <v>0.39999999999999997</v>
      </c>
      <c r="L40" s="72">
        <f>IFERROR(L39/Labor!L36,"nm")</f>
        <v>0.39999999999999997</v>
      </c>
      <c r="M40" s="72">
        <f>IFERROR(M39/Labor!M36,"nm")</f>
        <v>0.39999999999999997</v>
      </c>
      <c r="N40" s="72">
        <f>IFERROR(N39/Labor!N36,"nm")</f>
        <v>0.40000000000000008</v>
      </c>
      <c r="O40" s="72">
        <f>IFERROR(O39/Labor!O36,"nm")</f>
        <v>0.4</v>
      </c>
      <c r="P40" s="72">
        <f>IFERROR(P39/Labor!P36,"nm")</f>
        <v>0.40000000000000008</v>
      </c>
      <c r="Q40" s="72">
        <f>IFERROR(Q39/Labor!Q36,"nm")</f>
        <v>0.4</v>
      </c>
      <c r="S40" s="72">
        <f>IFERROR(S39/Labor!S36,"nm")</f>
        <v>0.40000000000000008</v>
      </c>
      <c r="T40" s="72">
        <f>IFERROR(T39/Labor!T36,"nm")</f>
        <v>0.4</v>
      </c>
      <c r="U40" s="72">
        <f>IFERROR(U39/Labor!U36,"nm")</f>
        <v>0.40000000000000008</v>
      </c>
      <c r="V40" s="72">
        <f>IFERROR(V39/Labor!V36,"nm")</f>
        <v>0.39999999999999997</v>
      </c>
      <c r="X40" s="72">
        <f>IFERROR(X39/Labor!X36,"nm")</f>
        <v>0.4</v>
      </c>
    </row>
    <row r="41" spans="3:24" ht="6" customHeight="1" x14ac:dyDescent="0.2"/>
    <row r="42" spans="3:24" x14ac:dyDescent="0.2">
      <c r="C42" s="17" t="s">
        <v>207</v>
      </c>
    </row>
    <row r="43" spans="3:24" x14ac:dyDescent="0.2">
      <c r="C43" s="19" t="s">
        <v>131</v>
      </c>
      <c r="E43" s="39"/>
      <c r="F43" s="55">
        <f>F32*INDEX(Labor!$D$7:$D$15,MATCH('Salaries, Wages, &amp; Benefits'!$C43,Labor!$C$7:$C$15,0),1)</f>
        <v>0</v>
      </c>
      <c r="G43" s="55">
        <f>G32*INDEX(Labor!$D$7:$D$15,MATCH('Salaries, Wages, &amp; Benefits'!$C43,Labor!$C$7:$C$15,0),1)</f>
        <v>14.423076923076927</v>
      </c>
      <c r="H43" s="55">
        <f>H32*INDEX(Labor!$D$7:$D$15,MATCH('Salaries, Wages, &amp; Benefits'!$C43,Labor!$C$7:$C$15,0),1)</f>
        <v>14.423076923076927</v>
      </c>
      <c r="I43" s="55">
        <f>I32*INDEX(Labor!$D$7:$D$15,MATCH('Salaries, Wages, &amp; Benefits'!$C43,Labor!$C$7:$C$15,0),1)</f>
        <v>1019.2307692307694</v>
      </c>
      <c r="J43" s="55">
        <f>J32*INDEX(Labor!$D$7:$D$15,MATCH('Salaries, Wages, &amp; Benefits'!$C43,Labor!$C$7:$C$15,0),1)</f>
        <v>2024.0384615384617</v>
      </c>
      <c r="K43" s="55">
        <f>K32*INDEX(Labor!$D$7:$D$15,MATCH('Salaries, Wages, &amp; Benefits'!$C43,Labor!$C$7:$C$15,0),1)</f>
        <v>3014.4230769230771</v>
      </c>
      <c r="L43" s="55">
        <f>L32*INDEX(Labor!$D$7:$D$15,MATCH('Salaries, Wages, &amp; Benefits'!$C43,Labor!$C$7:$C$15,0),1)</f>
        <v>6000.0000000000009</v>
      </c>
      <c r="M43" s="55">
        <f>M32*INDEX(Labor!$D$7:$D$15,MATCH('Salaries, Wages, &amp; Benefits'!$C43,Labor!$C$7:$C$15,0),1)</f>
        <v>10894.230769230771</v>
      </c>
      <c r="N43" s="55">
        <f>N32*INDEX(Labor!$D$7:$D$15,MATCH('Salaries, Wages, &amp; Benefits'!$C43,Labor!$C$7:$C$15,0),1)</f>
        <v>16764.423076923082</v>
      </c>
      <c r="O43" s="55">
        <f>O32*INDEX(Labor!$D$7:$D$15,MATCH('Salaries, Wages, &amp; Benefits'!$C43,Labor!$C$7:$C$15,0),1)</f>
        <v>26538.461538461539</v>
      </c>
      <c r="P43" s="55">
        <f>P32*INDEX(Labor!$D$7:$D$15,MATCH('Salaries, Wages, &amp; Benefits'!$C43,Labor!$C$7:$C$15,0),1)</f>
        <v>37288.461538461539</v>
      </c>
      <c r="Q43" s="55">
        <f>Q32*INDEX(Labor!$D$7:$D$15,MATCH('Salaries, Wages, &amp; Benefits'!$C43,Labor!$C$7:$C$15,0),1)</f>
        <v>49014.423076923078</v>
      </c>
      <c r="S43" s="7">
        <f t="shared" ref="S43:S49" si="50">SUM(F43:H43)</f>
        <v>28.846153846153854</v>
      </c>
      <c r="T43" s="7">
        <f t="shared" ref="T43:T49" si="51">SUM(I43:K43)</f>
        <v>6057.6923076923085</v>
      </c>
      <c r="U43" s="7">
        <f t="shared" ref="U43:U49" si="52">SUM(L43:N43)</f>
        <v>33658.653846153858</v>
      </c>
      <c r="V43" s="7">
        <f t="shared" ref="V43:V49" si="53">SUM(O43:Q43)</f>
        <v>112841.34615384616</v>
      </c>
      <c r="X43" s="7">
        <f t="shared" ref="X43:X49" si="54">SUM(S43:V43)</f>
        <v>152586.53846153847</v>
      </c>
    </row>
    <row r="44" spans="3:24" x14ac:dyDescent="0.2">
      <c r="C44" s="19" t="s">
        <v>132</v>
      </c>
      <c r="E44" s="39"/>
      <c r="F44" s="55">
        <f>F33*INDEX(Labor!$D$7:$D$15,MATCH('Salaries, Wages, &amp; Benefits'!$C44,Labor!$C$7:$C$15,0),1)</f>
        <v>0</v>
      </c>
      <c r="G44" s="55">
        <f>G33*INDEX(Labor!$D$7:$D$15,MATCH('Salaries, Wages, &amp; Benefits'!$C44,Labor!$C$7:$C$15,0),1)</f>
        <v>14.423076923076927</v>
      </c>
      <c r="H44" s="55">
        <f>H33*INDEX(Labor!$D$7:$D$15,MATCH('Salaries, Wages, &amp; Benefits'!$C44,Labor!$C$7:$C$15,0),1)</f>
        <v>14.423076923076927</v>
      </c>
      <c r="I44" s="55">
        <f>I33*INDEX(Labor!$D$7:$D$15,MATCH('Salaries, Wages, &amp; Benefits'!$C44,Labor!$C$7:$C$15,0),1)</f>
        <v>1019.2307692307694</v>
      </c>
      <c r="J44" s="55">
        <f>J33*INDEX(Labor!$D$7:$D$15,MATCH('Salaries, Wages, &amp; Benefits'!$C44,Labor!$C$7:$C$15,0),1)</f>
        <v>2024.0384615384617</v>
      </c>
      <c r="K44" s="55">
        <f>K33*INDEX(Labor!$D$7:$D$15,MATCH('Salaries, Wages, &amp; Benefits'!$C44,Labor!$C$7:$C$15,0),1)</f>
        <v>3014.4230769230771</v>
      </c>
      <c r="L44" s="55">
        <f>L33*INDEX(Labor!$D$7:$D$15,MATCH('Salaries, Wages, &amp; Benefits'!$C44,Labor!$C$7:$C$15,0),1)</f>
        <v>6000.0000000000009</v>
      </c>
      <c r="M44" s="55">
        <f>M33*INDEX(Labor!$D$7:$D$15,MATCH('Salaries, Wages, &amp; Benefits'!$C44,Labor!$C$7:$C$15,0),1)</f>
        <v>10894.230769230771</v>
      </c>
      <c r="N44" s="55">
        <f>N33*INDEX(Labor!$D$7:$D$15,MATCH('Salaries, Wages, &amp; Benefits'!$C44,Labor!$C$7:$C$15,0),1)</f>
        <v>16764.423076923082</v>
      </c>
      <c r="O44" s="55">
        <f>O33*INDEX(Labor!$D$7:$D$15,MATCH('Salaries, Wages, &amp; Benefits'!$C44,Labor!$C$7:$C$15,0),1)</f>
        <v>26538.461538461539</v>
      </c>
      <c r="P44" s="55">
        <f>P33*INDEX(Labor!$D$7:$D$15,MATCH('Salaries, Wages, &amp; Benefits'!$C44,Labor!$C$7:$C$15,0),1)</f>
        <v>37288.461538461539</v>
      </c>
      <c r="Q44" s="55">
        <f>Q33*INDEX(Labor!$D$7:$D$15,MATCH('Salaries, Wages, &amp; Benefits'!$C44,Labor!$C$7:$C$15,0),1)</f>
        <v>49014.423076923078</v>
      </c>
      <c r="S44" s="7">
        <f t="shared" si="50"/>
        <v>28.846153846153854</v>
      </c>
      <c r="T44" s="7">
        <f t="shared" si="51"/>
        <v>6057.6923076923085</v>
      </c>
      <c r="U44" s="7">
        <f t="shared" si="52"/>
        <v>33658.653846153858</v>
      </c>
      <c r="V44" s="7">
        <f t="shared" si="53"/>
        <v>112841.34615384616</v>
      </c>
      <c r="X44" s="7">
        <f t="shared" si="54"/>
        <v>152586.53846153847</v>
      </c>
    </row>
    <row r="45" spans="3:24" x14ac:dyDescent="0.2">
      <c r="C45" s="19" t="s">
        <v>133</v>
      </c>
      <c r="E45" s="39"/>
      <c r="F45" s="55">
        <f>F34*INDEX(Labor!$D$7:$D$15,MATCH('Salaries, Wages, &amp; Benefits'!$C45,Labor!$C$7:$C$15,0),1)</f>
        <v>0</v>
      </c>
      <c r="G45" s="55">
        <f>G34*INDEX(Labor!$D$7:$D$15,MATCH('Salaries, Wages, &amp; Benefits'!$C45,Labor!$C$7:$C$15,0),1)</f>
        <v>12.980769230769232</v>
      </c>
      <c r="H45" s="55">
        <f>H34*INDEX(Labor!$D$7:$D$15,MATCH('Salaries, Wages, &amp; Benefits'!$C45,Labor!$C$7:$C$15,0),1)</f>
        <v>12.980769230769232</v>
      </c>
      <c r="I45" s="55">
        <f>I34*INDEX(Labor!$D$7:$D$15,MATCH('Salaries, Wages, &amp; Benefits'!$C45,Labor!$C$7:$C$15,0),1)</f>
        <v>917.30769230769238</v>
      </c>
      <c r="J45" s="55">
        <f>J34*INDEX(Labor!$D$7:$D$15,MATCH('Salaries, Wages, &amp; Benefits'!$C45,Labor!$C$7:$C$15,0),1)</f>
        <v>1821.6346153846152</v>
      </c>
      <c r="K45" s="55">
        <f>K34*INDEX(Labor!$D$7:$D$15,MATCH('Salaries, Wages, &amp; Benefits'!$C45,Labor!$C$7:$C$15,0),1)</f>
        <v>2712.9807692307691</v>
      </c>
      <c r="L45" s="55">
        <f>L34*INDEX(Labor!$D$7:$D$15,MATCH('Salaries, Wages, &amp; Benefits'!$C45,Labor!$C$7:$C$15,0),1)</f>
        <v>5400</v>
      </c>
      <c r="M45" s="55">
        <f>M34*INDEX(Labor!$D$7:$D$15,MATCH('Salaries, Wages, &amp; Benefits'!$C45,Labor!$C$7:$C$15,0),1)</f>
        <v>9804.8076923076933</v>
      </c>
      <c r="N45" s="55">
        <f>N34*INDEX(Labor!$D$7:$D$15,MATCH('Salaries, Wages, &amp; Benefits'!$C45,Labor!$C$7:$C$15,0),1)</f>
        <v>15087.98076923077</v>
      </c>
      <c r="O45" s="55">
        <f>O34*INDEX(Labor!$D$7:$D$15,MATCH('Salaries, Wages, &amp; Benefits'!$C45,Labor!$C$7:$C$15,0),1)</f>
        <v>23884.615384615383</v>
      </c>
      <c r="P45" s="55">
        <f>P34*INDEX(Labor!$D$7:$D$15,MATCH('Salaries, Wages, &amp; Benefits'!$C45,Labor!$C$7:$C$15,0),1)</f>
        <v>33559.615384615383</v>
      </c>
      <c r="Q45" s="55">
        <f>Q34*INDEX(Labor!$D$7:$D$15,MATCH('Salaries, Wages, &amp; Benefits'!$C45,Labor!$C$7:$C$15,0),1)</f>
        <v>44112.980769230766</v>
      </c>
      <c r="S45" s="7">
        <f t="shared" si="50"/>
        <v>25.961538461538463</v>
      </c>
      <c r="T45" s="7">
        <f t="shared" si="51"/>
        <v>5451.9230769230762</v>
      </c>
      <c r="U45" s="7">
        <f t="shared" si="52"/>
        <v>30292.788461538461</v>
      </c>
      <c r="V45" s="7">
        <f t="shared" si="53"/>
        <v>101557.21153846153</v>
      </c>
      <c r="X45" s="7">
        <f t="shared" si="54"/>
        <v>137327.88461538462</v>
      </c>
    </row>
    <row r="46" spans="3:24" x14ac:dyDescent="0.2">
      <c r="C46" s="19" t="s">
        <v>134</v>
      </c>
      <c r="E46" s="39"/>
      <c r="F46" s="55">
        <f>F35*INDEX(Labor!$D$7:$D$15,MATCH('Salaries, Wages, &amp; Benefits'!$C46,Labor!$C$7:$C$15,0),1)</f>
        <v>0</v>
      </c>
      <c r="G46" s="55">
        <f>G35*INDEX(Labor!$D$7:$D$15,MATCH('Salaries, Wages, &amp; Benefits'!$C46,Labor!$C$7:$C$15,0),1)</f>
        <v>23.798076923076927</v>
      </c>
      <c r="H46" s="55">
        <f>H35*INDEX(Labor!$D$7:$D$15,MATCH('Salaries, Wages, &amp; Benefits'!$C46,Labor!$C$7:$C$15,0),1)</f>
        <v>23.798076923076927</v>
      </c>
      <c r="I46" s="55">
        <f>I35*INDEX(Labor!$D$7:$D$15,MATCH('Salaries, Wages, &amp; Benefits'!$C46,Labor!$C$7:$C$15,0),1)</f>
        <v>1681.7307692307695</v>
      </c>
      <c r="J46" s="55">
        <f>J35*INDEX(Labor!$D$7:$D$15,MATCH('Salaries, Wages, &amp; Benefits'!$C46,Labor!$C$7:$C$15,0),1)</f>
        <v>3339.6634615384619</v>
      </c>
      <c r="K46" s="55">
        <f>K35*INDEX(Labor!$D$7:$D$15,MATCH('Salaries, Wages, &amp; Benefits'!$C46,Labor!$C$7:$C$15,0),1)</f>
        <v>4973.7980769230771</v>
      </c>
      <c r="L46" s="55">
        <f>L35*INDEX(Labor!$D$7:$D$15,MATCH('Salaries, Wages, &amp; Benefits'!$C46,Labor!$C$7:$C$15,0),1)</f>
        <v>9900.0000000000018</v>
      </c>
      <c r="M46" s="55">
        <f>M35*INDEX(Labor!$D$7:$D$15,MATCH('Salaries, Wages, &amp; Benefits'!$C46,Labor!$C$7:$C$15,0),1)</f>
        <v>17975.480769230773</v>
      </c>
      <c r="N46" s="55">
        <f>N35*INDEX(Labor!$D$7:$D$15,MATCH('Salaries, Wages, &amp; Benefits'!$C46,Labor!$C$7:$C$15,0),1)</f>
        <v>27661.298076923082</v>
      </c>
      <c r="O46" s="55">
        <f>O35*INDEX(Labor!$D$7:$D$15,MATCH('Salaries, Wages, &amp; Benefits'!$C46,Labor!$C$7:$C$15,0),1)</f>
        <v>43788.461538461539</v>
      </c>
      <c r="P46" s="55">
        <f>P35*INDEX(Labor!$D$7:$D$15,MATCH('Salaries, Wages, &amp; Benefits'!$C46,Labor!$C$7:$C$15,0),1)</f>
        <v>61525.961538461546</v>
      </c>
      <c r="Q46" s="55">
        <f>Q35*INDEX(Labor!$D$7:$D$15,MATCH('Salaries, Wages, &amp; Benefits'!$C46,Labor!$C$7:$C$15,0),1)</f>
        <v>80873.798076923078</v>
      </c>
      <c r="S46" s="7">
        <f t="shared" si="50"/>
        <v>47.596153846153854</v>
      </c>
      <c r="T46" s="7">
        <f t="shared" si="51"/>
        <v>9995.1923076923085</v>
      </c>
      <c r="U46" s="7">
        <f t="shared" si="52"/>
        <v>55536.778846153858</v>
      </c>
      <c r="V46" s="7">
        <f t="shared" si="53"/>
        <v>186188.22115384619</v>
      </c>
      <c r="X46" s="7">
        <f t="shared" si="54"/>
        <v>251767.7884615385</v>
      </c>
    </row>
    <row r="47" spans="3:24" x14ac:dyDescent="0.2">
      <c r="C47" s="19" t="s">
        <v>135</v>
      </c>
      <c r="E47" s="39"/>
      <c r="F47" s="55">
        <f>F36*INDEX(Labor!$D$7:$D$15,MATCH('Salaries, Wages, &amp; Benefits'!$C47,Labor!$C$7:$C$15,0),1)</f>
        <v>0</v>
      </c>
      <c r="G47" s="55">
        <f>G36*INDEX(Labor!$D$7:$D$15,MATCH('Salaries, Wages, &amp; Benefits'!$C47,Labor!$C$7:$C$15,0),1)</f>
        <v>6.4903846153846159</v>
      </c>
      <c r="H47" s="55">
        <f>H36*INDEX(Labor!$D$7:$D$15,MATCH('Salaries, Wages, &amp; Benefits'!$C47,Labor!$C$7:$C$15,0),1)</f>
        <v>6.4903846153846159</v>
      </c>
      <c r="I47" s="55">
        <f>I36*INDEX(Labor!$D$7:$D$15,MATCH('Salaries, Wages, &amp; Benefits'!$C47,Labor!$C$7:$C$15,0),1)</f>
        <v>458.65384615384619</v>
      </c>
      <c r="J47" s="55">
        <f>J36*INDEX(Labor!$D$7:$D$15,MATCH('Salaries, Wages, &amp; Benefits'!$C47,Labor!$C$7:$C$15,0),1)</f>
        <v>910.81730769230762</v>
      </c>
      <c r="K47" s="55">
        <f>K36*INDEX(Labor!$D$7:$D$15,MATCH('Salaries, Wages, &amp; Benefits'!$C47,Labor!$C$7:$C$15,0),1)</f>
        <v>1356.4903846153845</v>
      </c>
      <c r="L47" s="55">
        <f>L36*INDEX(Labor!$D$7:$D$15,MATCH('Salaries, Wages, &amp; Benefits'!$C47,Labor!$C$7:$C$15,0),1)</f>
        <v>2700</v>
      </c>
      <c r="M47" s="55">
        <f>M36*INDEX(Labor!$D$7:$D$15,MATCH('Salaries, Wages, &amp; Benefits'!$C47,Labor!$C$7:$C$15,0),1)</f>
        <v>4902.4038461538466</v>
      </c>
      <c r="N47" s="55">
        <f>N36*INDEX(Labor!$D$7:$D$15,MATCH('Salaries, Wages, &amp; Benefits'!$C47,Labor!$C$7:$C$15,0),1)</f>
        <v>7543.9903846153848</v>
      </c>
      <c r="O47" s="55">
        <f>O36*INDEX(Labor!$D$7:$D$15,MATCH('Salaries, Wages, &amp; Benefits'!$C47,Labor!$C$7:$C$15,0),1)</f>
        <v>11942.307692307691</v>
      </c>
      <c r="P47" s="55">
        <f>P36*INDEX(Labor!$D$7:$D$15,MATCH('Salaries, Wages, &amp; Benefits'!$C47,Labor!$C$7:$C$15,0),1)</f>
        <v>16779.807692307691</v>
      </c>
      <c r="Q47" s="55">
        <f>Q36*INDEX(Labor!$D$7:$D$15,MATCH('Salaries, Wages, &amp; Benefits'!$C47,Labor!$C$7:$C$15,0),1)</f>
        <v>22056.490384615383</v>
      </c>
      <c r="S47" s="7">
        <f t="shared" si="50"/>
        <v>12.980769230769232</v>
      </c>
      <c r="T47" s="7">
        <f t="shared" si="51"/>
        <v>2725.9615384615381</v>
      </c>
      <c r="U47" s="7">
        <f t="shared" si="52"/>
        <v>15146.39423076923</v>
      </c>
      <c r="V47" s="7">
        <f t="shared" si="53"/>
        <v>50778.605769230766</v>
      </c>
      <c r="X47" s="7">
        <f t="shared" si="54"/>
        <v>68663.942307692312</v>
      </c>
    </row>
    <row r="48" spans="3:24" x14ac:dyDescent="0.2">
      <c r="C48" s="19" t="s">
        <v>136</v>
      </c>
      <c r="E48" s="39"/>
      <c r="F48" s="55">
        <f>F37*INDEX(Labor!$D$7:$D$15,MATCH('Salaries, Wages, &amp; Benefits'!$C48,Labor!$C$7:$C$15,0),1)</f>
        <v>0</v>
      </c>
      <c r="G48" s="55">
        <f>G37*INDEX(Labor!$D$7:$D$15,MATCH('Salaries, Wages, &amp; Benefits'!$C48,Labor!$C$7:$C$15,0),1)</f>
        <v>6.4903846153846159</v>
      </c>
      <c r="H48" s="55">
        <f>H37*INDEX(Labor!$D$7:$D$15,MATCH('Salaries, Wages, &amp; Benefits'!$C48,Labor!$C$7:$C$15,0),1)</f>
        <v>6.4903846153846159</v>
      </c>
      <c r="I48" s="55">
        <f>I37*INDEX(Labor!$D$7:$D$15,MATCH('Salaries, Wages, &amp; Benefits'!$C48,Labor!$C$7:$C$15,0),1)</f>
        <v>458.65384615384619</v>
      </c>
      <c r="J48" s="55">
        <f>J37*INDEX(Labor!$D$7:$D$15,MATCH('Salaries, Wages, &amp; Benefits'!$C48,Labor!$C$7:$C$15,0),1)</f>
        <v>910.81730769230762</v>
      </c>
      <c r="K48" s="55">
        <f>K37*INDEX(Labor!$D$7:$D$15,MATCH('Salaries, Wages, &amp; Benefits'!$C48,Labor!$C$7:$C$15,0),1)</f>
        <v>1356.4903846153845</v>
      </c>
      <c r="L48" s="55">
        <f>L37*INDEX(Labor!$D$7:$D$15,MATCH('Salaries, Wages, &amp; Benefits'!$C48,Labor!$C$7:$C$15,0),1)</f>
        <v>2700</v>
      </c>
      <c r="M48" s="55">
        <f>M37*INDEX(Labor!$D$7:$D$15,MATCH('Salaries, Wages, &amp; Benefits'!$C48,Labor!$C$7:$C$15,0),1)</f>
        <v>4902.4038461538466</v>
      </c>
      <c r="N48" s="55">
        <f>N37*INDEX(Labor!$D$7:$D$15,MATCH('Salaries, Wages, &amp; Benefits'!$C48,Labor!$C$7:$C$15,0),1)</f>
        <v>7543.9903846153848</v>
      </c>
      <c r="O48" s="55">
        <f>O37*INDEX(Labor!$D$7:$D$15,MATCH('Salaries, Wages, &amp; Benefits'!$C48,Labor!$C$7:$C$15,0),1)</f>
        <v>11942.307692307691</v>
      </c>
      <c r="P48" s="55">
        <f>P37*INDEX(Labor!$D$7:$D$15,MATCH('Salaries, Wages, &amp; Benefits'!$C48,Labor!$C$7:$C$15,0),1)</f>
        <v>16779.807692307691</v>
      </c>
      <c r="Q48" s="55">
        <f>Q37*INDEX(Labor!$D$7:$D$15,MATCH('Salaries, Wages, &amp; Benefits'!$C48,Labor!$C$7:$C$15,0),1)</f>
        <v>22056.490384615383</v>
      </c>
      <c r="S48" s="7">
        <f t="shared" si="50"/>
        <v>12.980769230769232</v>
      </c>
      <c r="T48" s="7">
        <f t="shared" si="51"/>
        <v>2725.9615384615381</v>
      </c>
      <c r="U48" s="7">
        <f t="shared" si="52"/>
        <v>15146.39423076923</v>
      </c>
      <c r="V48" s="7">
        <f t="shared" si="53"/>
        <v>50778.605769230766</v>
      </c>
      <c r="X48" s="7">
        <f t="shared" si="54"/>
        <v>68663.942307692312</v>
      </c>
    </row>
    <row r="49" spans="3:24" x14ac:dyDescent="0.2">
      <c r="C49" s="19" t="s">
        <v>137</v>
      </c>
      <c r="E49" s="39"/>
      <c r="F49" s="55">
        <f>F38*INDEX(Labor!$D$7:$D$15,MATCH('Salaries, Wages, &amp; Benefits'!$C49,Labor!$C$7:$C$15,0),1)</f>
        <v>0</v>
      </c>
      <c r="G49" s="55">
        <f>G38*INDEX(Labor!$D$7:$D$15,MATCH('Salaries, Wages, &amp; Benefits'!$C49,Labor!$C$7:$C$15,0),1)</f>
        <v>4.6875000000000009</v>
      </c>
      <c r="H49" s="55">
        <f>H38*INDEX(Labor!$D$7:$D$15,MATCH('Salaries, Wages, &amp; Benefits'!$C49,Labor!$C$7:$C$15,0),1)</f>
        <v>4.6875000000000009</v>
      </c>
      <c r="I49" s="55">
        <f>I38*INDEX(Labor!$D$7:$D$15,MATCH('Salaries, Wages, &amp; Benefits'!$C49,Labor!$C$7:$C$15,0),1)</f>
        <v>331.25000000000006</v>
      </c>
      <c r="J49" s="55">
        <f>J38*INDEX(Labor!$D$7:$D$15,MATCH('Salaries, Wages, &amp; Benefits'!$C49,Labor!$C$7:$C$15,0),1)</f>
        <v>657.8125</v>
      </c>
      <c r="K49" s="55">
        <f>K38*INDEX(Labor!$D$7:$D$15,MATCH('Salaries, Wages, &amp; Benefits'!$C49,Labor!$C$7:$C$15,0),1)</f>
        <v>979.6875</v>
      </c>
      <c r="L49" s="55">
        <f>L38*INDEX(Labor!$D$7:$D$15,MATCH('Salaries, Wages, &amp; Benefits'!$C49,Labor!$C$7:$C$15,0),1)</f>
        <v>1950.0000000000002</v>
      </c>
      <c r="M49" s="55">
        <f>M38*INDEX(Labor!$D$7:$D$15,MATCH('Salaries, Wages, &amp; Benefits'!$C49,Labor!$C$7:$C$15,0),1)</f>
        <v>3540.6250000000005</v>
      </c>
      <c r="N49" s="55">
        <f>N38*INDEX(Labor!$D$7:$D$15,MATCH('Salaries, Wages, &amp; Benefits'!$C49,Labor!$C$7:$C$15,0),1)</f>
        <v>5448.4375000000009</v>
      </c>
      <c r="O49" s="55">
        <f>O38*INDEX(Labor!$D$7:$D$15,MATCH('Salaries, Wages, &amp; Benefits'!$C49,Labor!$C$7:$C$15,0),1)</f>
        <v>8625</v>
      </c>
      <c r="P49" s="55">
        <f>P38*INDEX(Labor!$D$7:$D$15,MATCH('Salaries, Wages, &amp; Benefits'!$C49,Labor!$C$7:$C$15,0),1)</f>
        <v>12118.75</v>
      </c>
      <c r="Q49" s="55">
        <f>Q38*INDEX(Labor!$D$7:$D$15,MATCH('Salaries, Wages, &amp; Benefits'!$C49,Labor!$C$7:$C$15,0),1)</f>
        <v>15929.6875</v>
      </c>
      <c r="S49" s="7">
        <f t="shared" si="50"/>
        <v>9.3750000000000018</v>
      </c>
      <c r="T49" s="7">
        <f t="shared" si="51"/>
        <v>1968.75</v>
      </c>
      <c r="U49" s="7">
        <f t="shared" si="52"/>
        <v>10939.062500000002</v>
      </c>
      <c r="V49" s="7">
        <f t="shared" si="53"/>
        <v>36673.4375</v>
      </c>
      <c r="X49" s="7">
        <f t="shared" si="54"/>
        <v>49590.625</v>
      </c>
    </row>
    <row r="50" spans="3:24" x14ac:dyDescent="0.2">
      <c r="C50" s="17" t="s">
        <v>208</v>
      </c>
      <c r="F50" s="18">
        <f>SUM(F43:F49)</f>
        <v>0</v>
      </c>
      <c r="G50" s="18">
        <f t="shared" ref="G50:Q50" si="55">SUM(G43:G49)</f>
        <v>83.293269230769241</v>
      </c>
      <c r="H50" s="18">
        <f t="shared" si="55"/>
        <v>83.293269230769241</v>
      </c>
      <c r="I50" s="18">
        <f t="shared" si="55"/>
        <v>5886.0576923076933</v>
      </c>
      <c r="J50" s="18">
        <f t="shared" si="55"/>
        <v>11688.822115384617</v>
      </c>
      <c r="K50" s="18">
        <f t="shared" si="55"/>
        <v>17408.29326923077</v>
      </c>
      <c r="L50" s="18">
        <f t="shared" si="55"/>
        <v>34650</v>
      </c>
      <c r="M50" s="18">
        <f t="shared" si="55"/>
        <v>62914.182692307695</v>
      </c>
      <c r="N50" s="18">
        <f t="shared" si="55"/>
        <v>96814.543269230795</v>
      </c>
      <c r="O50" s="18">
        <f t="shared" si="55"/>
        <v>153259.61538461538</v>
      </c>
      <c r="P50" s="18">
        <f t="shared" si="55"/>
        <v>215340.86538461538</v>
      </c>
      <c r="Q50" s="18">
        <f t="shared" si="55"/>
        <v>283058.29326923075</v>
      </c>
      <c r="S50" s="18">
        <f t="shared" ref="S50" si="56">SUM(S43:S49)</f>
        <v>166.58653846153848</v>
      </c>
      <c r="T50" s="18">
        <f t="shared" ref="T50" si="57">SUM(T43:T49)</f>
        <v>34983.173076923078</v>
      </c>
      <c r="U50" s="18">
        <f t="shared" ref="U50" si="58">SUM(U43:U49)</f>
        <v>194378.7259615385</v>
      </c>
      <c r="V50" s="18">
        <f t="shared" ref="V50" si="59">SUM(V43:V49)</f>
        <v>651658.77403846162</v>
      </c>
      <c r="X50" s="18">
        <f t="shared" ref="X50" si="60">SUM(X43:X49)</f>
        <v>881187.25961538451</v>
      </c>
    </row>
    <row r="51" spans="3:24" ht="6" customHeight="1" x14ac:dyDescent="0.2"/>
    <row r="52" spans="3:24" ht="15" thickBot="1" x14ac:dyDescent="0.25">
      <c r="C52" s="17" t="s">
        <v>209</v>
      </c>
      <c r="D52" s="17"/>
      <c r="E52" s="31"/>
      <c r="F52" s="25">
        <f>F29-F50</f>
        <v>106535.84461764063</v>
      </c>
      <c r="G52" s="25">
        <f t="shared" ref="G52:X52" si="61">G29-G50</f>
        <v>104570.28345168383</v>
      </c>
      <c r="H52" s="25">
        <f t="shared" si="61"/>
        <v>101192.69986063479</v>
      </c>
      <c r="I52" s="25">
        <f t="shared" si="61"/>
        <v>98889.929353741536</v>
      </c>
      <c r="J52" s="25">
        <f t="shared" si="61"/>
        <v>93087.170320382429</v>
      </c>
      <c r="K52" s="25">
        <f t="shared" si="61"/>
        <v>86743.449521119139</v>
      </c>
      <c r="L52" s="25">
        <f t="shared" si="61"/>
        <v>69457.960480705209</v>
      </c>
      <c r="M52" s="25">
        <f t="shared" si="61"/>
        <v>41193.777788397514</v>
      </c>
      <c r="N52" s="25">
        <f t="shared" si="61"/>
        <v>7293.4172114744142</v>
      </c>
      <c r="O52" s="25">
        <f t="shared" si="61"/>
        <v>-49151.654903910166</v>
      </c>
      <c r="P52" s="25">
        <f t="shared" si="61"/>
        <v>-111232.90490391017</v>
      </c>
      <c r="Q52" s="25">
        <f t="shared" si="61"/>
        <v>-178950.33278852556</v>
      </c>
      <c r="R52" s="17"/>
      <c r="S52" s="25">
        <f t="shared" si="61"/>
        <v>312298.82792995923</v>
      </c>
      <c r="T52" s="25">
        <f t="shared" si="61"/>
        <v>278720.5491952431</v>
      </c>
      <c r="U52" s="25">
        <f t="shared" si="61"/>
        <v>117945.15548057709</v>
      </c>
      <c r="V52" s="25">
        <f t="shared" si="61"/>
        <v>-339334.89259634604</v>
      </c>
      <c r="W52" s="17"/>
      <c r="X52" s="25">
        <f t="shared" si="61"/>
        <v>369629.64000943373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50C5-E5A6-433F-AD43-7621B73B3F5C}">
  <sheetPr>
    <tabColor theme="1" tint="0.499984740745262"/>
  </sheetPr>
  <dimension ref="C2:AA35"/>
  <sheetViews>
    <sheetView showGridLines="0" topLeftCell="F1" zoomScaleNormal="100" workbookViewId="0">
      <selection activeCell="AA32" sqref="AA32"/>
    </sheetView>
  </sheetViews>
  <sheetFormatPr baseColWidth="10" defaultColWidth="8.83203125" defaultRowHeight="14" x14ac:dyDescent="0.2"/>
  <cols>
    <col min="1" max="2" width="3.6640625" style="1" customWidth="1"/>
    <col min="3" max="4" width="12.33203125" style="1" customWidth="1"/>
    <col min="5" max="5" width="22" style="28" customWidth="1"/>
    <col min="6" max="8" width="10.33203125" style="2" customWidth="1"/>
    <col min="9" max="20" width="10.6640625" style="1" customWidth="1"/>
    <col min="21" max="21" width="3.6640625" style="1" customWidth="1"/>
    <col min="22" max="25" width="10.6640625" style="1" customWidth="1"/>
    <col min="26" max="26" width="3.6640625" style="1" customWidth="1"/>
    <col min="27" max="27" width="10.6640625" style="1" customWidth="1"/>
    <col min="28" max="29" width="3.6640625" style="1" customWidth="1"/>
    <col min="30" max="16384" width="8.83203125" style="1"/>
  </cols>
  <sheetData>
    <row r="2" spans="3:27" x14ac:dyDescent="0.2">
      <c r="C2" s="27" t="s">
        <v>0</v>
      </c>
      <c r="D2" s="27"/>
      <c r="E2" s="35"/>
      <c r="F2" s="29"/>
      <c r="G2" s="29"/>
      <c r="H2" s="2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3:27" x14ac:dyDescent="0.2">
      <c r="C3" s="14" t="s">
        <v>33</v>
      </c>
      <c r="D3" s="14"/>
      <c r="E3" s="36"/>
      <c r="F3" s="30"/>
      <c r="G3" s="30"/>
      <c r="H3" s="30"/>
    </row>
    <row r="4" spans="3:27" ht="6" customHeight="1" x14ac:dyDescent="0.2"/>
    <row r="5" spans="3:27" ht="14" customHeight="1" thickBot="1" x14ac:dyDescent="0.25">
      <c r="C5" s="6" t="s">
        <v>210</v>
      </c>
      <c r="D5" s="6" t="s">
        <v>211</v>
      </c>
      <c r="E5" s="37" t="s">
        <v>212</v>
      </c>
      <c r="F5" s="5" t="s">
        <v>213</v>
      </c>
      <c r="G5" s="5" t="s">
        <v>214</v>
      </c>
      <c r="H5" s="5" t="s">
        <v>215</v>
      </c>
      <c r="I5" s="11">
        <v>46023</v>
      </c>
      <c r="J5" s="11">
        <f>EOMONTH(I5,0)+1</f>
        <v>46054</v>
      </c>
      <c r="K5" s="11">
        <f t="shared" ref="K5:T5" si="0">EOMONTH(J5,0)+1</f>
        <v>46082</v>
      </c>
      <c r="L5" s="11">
        <f t="shared" si="0"/>
        <v>46113</v>
      </c>
      <c r="M5" s="11">
        <f t="shared" si="0"/>
        <v>46143</v>
      </c>
      <c r="N5" s="11">
        <f t="shared" si="0"/>
        <v>46174</v>
      </c>
      <c r="O5" s="11">
        <f t="shared" si="0"/>
        <v>46204</v>
      </c>
      <c r="P5" s="11">
        <f t="shared" si="0"/>
        <v>46235</v>
      </c>
      <c r="Q5" s="11">
        <f t="shared" si="0"/>
        <v>46266</v>
      </c>
      <c r="R5" s="11">
        <f t="shared" si="0"/>
        <v>46296</v>
      </c>
      <c r="S5" s="11">
        <f t="shared" si="0"/>
        <v>46327</v>
      </c>
      <c r="T5" s="11">
        <f t="shared" si="0"/>
        <v>46357</v>
      </c>
      <c r="V5" s="20" t="s">
        <v>3</v>
      </c>
      <c r="W5" s="20" t="s">
        <v>4</v>
      </c>
      <c r="X5" s="20" t="s">
        <v>5</v>
      </c>
      <c r="Y5" s="20" t="s">
        <v>6</v>
      </c>
      <c r="AA5" s="20" t="s">
        <v>7</v>
      </c>
    </row>
    <row r="6" spans="3:27" ht="6" customHeight="1" x14ac:dyDescent="0.2"/>
    <row r="7" spans="3:27" x14ac:dyDescent="0.2">
      <c r="C7" s="28"/>
      <c r="D7" s="28"/>
      <c r="E7" s="38" t="s">
        <v>216</v>
      </c>
      <c r="F7" s="32">
        <v>100</v>
      </c>
      <c r="G7" s="39">
        <v>160</v>
      </c>
      <c r="H7" s="40">
        <v>46382</v>
      </c>
      <c r="I7" s="7">
        <f t="shared" ref="I7:T19" si="1">IF(I$5&gt;$H7,0,$F7*$G7)</f>
        <v>16000</v>
      </c>
      <c r="J7" s="7">
        <f t="shared" si="1"/>
        <v>16000</v>
      </c>
      <c r="K7" s="7">
        <f t="shared" si="1"/>
        <v>16000</v>
      </c>
      <c r="L7" s="7">
        <f t="shared" si="1"/>
        <v>16000</v>
      </c>
      <c r="M7" s="7">
        <f t="shared" si="1"/>
        <v>16000</v>
      </c>
      <c r="N7" s="7">
        <f t="shared" si="1"/>
        <v>16000</v>
      </c>
      <c r="O7" s="7">
        <f t="shared" si="1"/>
        <v>16000</v>
      </c>
      <c r="P7" s="7">
        <f t="shared" si="1"/>
        <v>16000</v>
      </c>
      <c r="Q7" s="7">
        <f t="shared" si="1"/>
        <v>16000</v>
      </c>
      <c r="R7" s="7">
        <f t="shared" si="1"/>
        <v>16000</v>
      </c>
      <c r="S7" s="7">
        <f t="shared" si="1"/>
        <v>16000</v>
      </c>
      <c r="T7" s="7">
        <f t="shared" si="1"/>
        <v>16000</v>
      </c>
      <c r="V7" s="7">
        <f t="shared" ref="V7:V9" si="2">SUM(I7:K7)</f>
        <v>48000</v>
      </c>
      <c r="W7" s="7">
        <f t="shared" ref="W7:W9" si="3">SUM(L7:N7)</f>
        <v>48000</v>
      </c>
      <c r="X7" s="7">
        <f t="shared" ref="X7:X9" si="4">SUM(O7:Q7)</f>
        <v>48000</v>
      </c>
      <c r="Y7" s="7">
        <f t="shared" ref="Y7:Y9" si="5">SUM(R7:T7)</f>
        <v>48000</v>
      </c>
      <c r="AA7" s="7">
        <f t="shared" ref="AA7:AA9" si="6">SUM(V7:Y7)</f>
        <v>192000</v>
      </c>
    </row>
    <row r="8" spans="3:27" x14ac:dyDescent="0.2">
      <c r="C8" s="28"/>
      <c r="D8" s="28"/>
      <c r="E8" s="38" t="s">
        <v>217</v>
      </c>
      <c r="F8" s="32">
        <v>17</v>
      </c>
      <c r="G8" s="39">
        <v>160</v>
      </c>
      <c r="H8" s="40">
        <v>46382</v>
      </c>
      <c r="I8" s="7">
        <f t="shared" si="1"/>
        <v>2720</v>
      </c>
      <c r="J8" s="7">
        <f t="shared" si="1"/>
        <v>2720</v>
      </c>
      <c r="K8" s="7">
        <f t="shared" si="1"/>
        <v>2720</v>
      </c>
      <c r="L8" s="7">
        <f t="shared" si="1"/>
        <v>2720</v>
      </c>
      <c r="M8" s="7">
        <f t="shared" si="1"/>
        <v>2720</v>
      </c>
      <c r="N8" s="7">
        <f t="shared" si="1"/>
        <v>2720</v>
      </c>
      <c r="O8" s="7">
        <f t="shared" si="1"/>
        <v>2720</v>
      </c>
      <c r="P8" s="7">
        <f t="shared" si="1"/>
        <v>2720</v>
      </c>
      <c r="Q8" s="7">
        <f t="shared" si="1"/>
        <v>2720</v>
      </c>
      <c r="R8" s="7">
        <f t="shared" si="1"/>
        <v>2720</v>
      </c>
      <c r="S8" s="7">
        <f t="shared" si="1"/>
        <v>2720</v>
      </c>
      <c r="T8" s="7">
        <f t="shared" si="1"/>
        <v>2720</v>
      </c>
      <c r="V8" s="7">
        <f t="shared" si="2"/>
        <v>8160</v>
      </c>
      <c r="W8" s="7">
        <f t="shared" si="3"/>
        <v>8160</v>
      </c>
      <c r="X8" s="7">
        <f t="shared" si="4"/>
        <v>8160</v>
      </c>
      <c r="Y8" s="7">
        <f t="shared" si="5"/>
        <v>8160</v>
      </c>
      <c r="AA8" s="7">
        <f t="shared" si="6"/>
        <v>32640</v>
      </c>
    </row>
    <row r="9" spans="3:27" x14ac:dyDescent="0.2">
      <c r="C9" s="28"/>
      <c r="D9" s="28"/>
      <c r="E9" s="38" t="s">
        <v>218</v>
      </c>
      <c r="F9" s="32">
        <v>50</v>
      </c>
      <c r="G9" s="39">
        <v>160</v>
      </c>
      <c r="H9" s="40">
        <v>46382</v>
      </c>
      <c r="I9" s="7">
        <f t="shared" si="1"/>
        <v>8000</v>
      </c>
      <c r="J9" s="7">
        <f t="shared" si="1"/>
        <v>8000</v>
      </c>
      <c r="K9" s="7">
        <f t="shared" si="1"/>
        <v>8000</v>
      </c>
      <c r="L9" s="7">
        <f t="shared" si="1"/>
        <v>8000</v>
      </c>
      <c r="M9" s="7">
        <f t="shared" si="1"/>
        <v>8000</v>
      </c>
      <c r="N9" s="7">
        <f t="shared" si="1"/>
        <v>8000</v>
      </c>
      <c r="O9" s="7">
        <f t="shared" si="1"/>
        <v>8000</v>
      </c>
      <c r="P9" s="7">
        <f t="shared" si="1"/>
        <v>8000</v>
      </c>
      <c r="Q9" s="7">
        <f t="shared" si="1"/>
        <v>8000</v>
      </c>
      <c r="R9" s="7">
        <f t="shared" si="1"/>
        <v>8000</v>
      </c>
      <c r="S9" s="7">
        <f t="shared" si="1"/>
        <v>8000</v>
      </c>
      <c r="T9" s="7">
        <f t="shared" si="1"/>
        <v>8000</v>
      </c>
      <c r="V9" s="7">
        <f t="shared" si="2"/>
        <v>24000</v>
      </c>
      <c r="W9" s="7">
        <f t="shared" si="3"/>
        <v>24000</v>
      </c>
      <c r="X9" s="7">
        <f t="shared" si="4"/>
        <v>24000</v>
      </c>
      <c r="Y9" s="7">
        <f t="shared" si="5"/>
        <v>24000</v>
      </c>
      <c r="AA9" s="7">
        <f t="shared" si="6"/>
        <v>96000</v>
      </c>
    </row>
    <row r="10" spans="3:27" x14ac:dyDescent="0.2">
      <c r="C10" s="28"/>
      <c r="D10" s="28"/>
      <c r="E10" s="38" t="s">
        <v>219</v>
      </c>
      <c r="F10" s="32">
        <v>150</v>
      </c>
      <c r="G10" s="39">
        <v>10</v>
      </c>
      <c r="H10" s="40">
        <v>46382</v>
      </c>
      <c r="I10" s="7">
        <f t="shared" si="1"/>
        <v>1500</v>
      </c>
      <c r="J10" s="7">
        <f t="shared" si="1"/>
        <v>1500</v>
      </c>
      <c r="K10" s="7">
        <f t="shared" si="1"/>
        <v>1500</v>
      </c>
      <c r="L10" s="7">
        <f t="shared" si="1"/>
        <v>1500</v>
      </c>
      <c r="M10" s="7">
        <f t="shared" si="1"/>
        <v>1500</v>
      </c>
      <c r="N10" s="7">
        <f t="shared" si="1"/>
        <v>1500</v>
      </c>
      <c r="O10" s="7">
        <f t="shared" si="1"/>
        <v>1500</v>
      </c>
      <c r="P10" s="7">
        <f t="shared" si="1"/>
        <v>1500</v>
      </c>
      <c r="Q10" s="7">
        <f t="shared" si="1"/>
        <v>1500</v>
      </c>
      <c r="R10" s="7">
        <f t="shared" si="1"/>
        <v>1500</v>
      </c>
      <c r="S10" s="7">
        <f t="shared" si="1"/>
        <v>1500</v>
      </c>
      <c r="T10" s="7">
        <f t="shared" si="1"/>
        <v>1500</v>
      </c>
      <c r="V10" s="7">
        <f t="shared" ref="V10:V19" si="7">SUM(I10:K10)</f>
        <v>4500</v>
      </c>
      <c r="W10" s="7">
        <f t="shared" ref="W10:W19" si="8">SUM(L10:N10)</f>
        <v>4500</v>
      </c>
      <c r="X10" s="7">
        <f t="shared" ref="X10:X19" si="9">SUM(O10:Q10)</f>
        <v>4500</v>
      </c>
      <c r="Y10" s="7">
        <f t="shared" ref="Y10:Y19" si="10">SUM(R10:T10)</f>
        <v>4500</v>
      </c>
      <c r="AA10" s="7">
        <f t="shared" ref="AA10:AA19" si="11">SUM(V10:Y10)</f>
        <v>18000</v>
      </c>
    </row>
    <row r="11" spans="3:27" x14ac:dyDescent="0.2">
      <c r="C11" s="28"/>
      <c r="D11" s="28"/>
      <c r="E11" s="38" t="s">
        <v>218</v>
      </c>
      <c r="F11" s="32">
        <v>43</v>
      </c>
      <c r="G11" s="39">
        <v>160</v>
      </c>
      <c r="H11" s="40">
        <v>46382</v>
      </c>
      <c r="I11" s="7">
        <f t="shared" si="1"/>
        <v>6880</v>
      </c>
      <c r="J11" s="7">
        <f t="shared" si="1"/>
        <v>6880</v>
      </c>
      <c r="K11" s="7">
        <f t="shared" si="1"/>
        <v>6880</v>
      </c>
      <c r="L11" s="7">
        <f t="shared" si="1"/>
        <v>6880</v>
      </c>
      <c r="M11" s="7">
        <f t="shared" si="1"/>
        <v>6880</v>
      </c>
      <c r="N11" s="7">
        <f t="shared" si="1"/>
        <v>6880</v>
      </c>
      <c r="O11" s="7">
        <f t="shared" si="1"/>
        <v>6880</v>
      </c>
      <c r="P11" s="7">
        <f t="shared" si="1"/>
        <v>6880</v>
      </c>
      <c r="Q11" s="7">
        <f t="shared" si="1"/>
        <v>6880</v>
      </c>
      <c r="R11" s="7">
        <f t="shared" si="1"/>
        <v>6880</v>
      </c>
      <c r="S11" s="7">
        <f t="shared" si="1"/>
        <v>6880</v>
      </c>
      <c r="T11" s="7">
        <f t="shared" si="1"/>
        <v>6880</v>
      </c>
      <c r="V11" s="7">
        <f t="shared" si="7"/>
        <v>20640</v>
      </c>
      <c r="W11" s="7">
        <f t="shared" si="8"/>
        <v>20640</v>
      </c>
      <c r="X11" s="7">
        <f t="shared" si="9"/>
        <v>20640</v>
      </c>
      <c r="Y11" s="7">
        <f t="shared" si="10"/>
        <v>20640</v>
      </c>
      <c r="AA11" s="7">
        <f t="shared" si="11"/>
        <v>82560</v>
      </c>
    </row>
    <row r="12" spans="3:27" x14ac:dyDescent="0.2">
      <c r="C12" s="28"/>
      <c r="D12" s="28"/>
      <c r="E12" s="38" t="s">
        <v>220</v>
      </c>
      <c r="F12" s="32">
        <v>120</v>
      </c>
      <c r="G12" s="39">
        <v>160</v>
      </c>
      <c r="H12" s="40">
        <v>46382</v>
      </c>
      <c r="I12" s="7">
        <f t="shared" si="1"/>
        <v>19200</v>
      </c>
      <c r="J12" s="7">
        <f t="shared" si="1"/>
        <v>19200</v>
      </c>
      <c r="K12" s="7">
        <f t="shared" si="1"/>
        <v>19200</v>
      </c>
      <c r="L12" s="7">
        <f t="shared" si="1"/>
        <v>19200</v>
      </c>
      <c r="M12" s="7">
        <f t="shared" si="1"/>
        <v>19200</v>
      </c>
      <c r="N12" s="7">
        <f t="shared" si="1"/>
        <v>19200</v>
      </c>
      <c r="O12" s="7">
        <f t="shared" si="1"/>
        <v>19200</v>
      </c>
      <c r="P12" s="7">
        <f t="shared" si="1"/>
        <v>19200</v>
      </c>
      <c r="Q12" s="7">
        <f t="shared" si="1"/>
        <v>19200</v>
      </c>
      <c r="R12" s="7">
        <f t="shared" si="1"/>
        <v>19200</v>
      </c>
      <c r="S12" s="7">
        <f t="shared" si="1"/>
        <v>19200</v>
      </c>
      <c r="T12" s="7">
        <f t="shared" si="1"/>
        <v>19200</v>
      </c>
      <c r="V12" s="7">
        <f t="shared" si="7"/>
        <v>57600</v>
      </c>
      <c r="W12" s="7">
        <f t="shared" si="8"/>
        <v>57600</v>
      </c>
      <c r="X12" s="7">
        <f t="shared" si="9"/>
        <v>57600</v>
      </c>
      <c r="Y12" s="7">
        <f t="shared" si="10"/>
        <v>57600</v>
      </c>
      <c r="AA12" s="7">
        <f t="shared" si="11"/>
        <v>230400</v>
      </c>
    </row>
    <row r="13" spans="3:27" x14ac:dyDescent="0.2">
      <c r="C13" s="28"/>
      <c r="D13" s="28"/>
      <c r="E13" s="38" t="s">
        <v>221</v>
      </c>
      <c r="F13" s="32">
        <v>15</v>
      </c>
      <c r="G13" s="39">
        <v>20</v>
      </c>
      <c r="H13" s="40">
        <v>46382</v>
      </c>
      <c r="I13" s="7">
        <f t="shared" si="1"/>
        <v>300</v>
      </c>
      <c r="J13" s="7">
        <f t="shared" si="1"/>
        <v>300</v>
      </c>
      <c r="K13" s="7">
        <f t="shared" si="1"/>
        <v>300</v>
      </c>
      <c r="L13" s="7">
        <f t="shared" si="1"/>
        <v>300</v>
      </c>
      <c r="M13" s="7">
        <f t="shared" si="1"/>
        <v>300</v>
      </c>
      <c r="N13" s="7">
        <f t="shared" si="1"/>
        <v>300</v>
      </c>
      <c r="O13" s="7">
        <f t="shared" si="1"/>
        <v>300</v>
      </c>
      <c r="P13" s="7">
        <f t="shared" si="1"/>
        <v>300</v>
      </c>
      <c r="Q13" s="7">
        <f t="shared" si="1"/>
        <v>300</v>
      </c>
      <c r="R13" s="7">
        <f t="shared" si="1"/>
        <v>300</v>
      </c>
      <c r="S13" s="7">
        <f t="shared" si="1"/>
        <v>300</v>
      </c>
      <c r="T13" s="7">
        <f t="shared" si="1"/>
        <v>300</v>
      </c>
      <c r="V13" s="7">
        <f t="shared" si="7"/>
        <v>900</v>
      </c>
      <c r="W13" s="7">
        <f t="shared" si="8"/>
        <v>900</v>
      </c>
      <c r="X13" s="7">
        <f t="shared" si="9"/>
        <v>900</v>
      </c>
      <c r="Y13" s="7">
        <f t="shared" si="10"/>
        <v>900</v>
      </c>
      <c r="AA13" s="7">
        <f t="shared" si="11"/>
        <v>3600</v>
      </c>
    </row>
    <row r="14" spans="3:27" x14ac:dyDescent="0.2">
      <c r="C14" s="28"/>
      <c r="D14" s="28"/>
      <c r="E14" s="38" t="s">
        <v>222</v>
      </c>
      <c r="F14" s="32">
        <v>48</v>
      </c>
      <c r="G14" s="39">
        <v>140</v>
      </c>
      <c r="H14" s="40">
        <v>46382</v>
      </c>
      <c r="I14" s="7">
        <f t="shared" si="1"/>
        <v>6720</v>
      </c>
      <c r="J14" s="7">
        <f t="shared" si="1"/>
        <v>6720</v>
      </c>
      <c r="K14" s="7">
        <f t="shared" si="1"/>
        <v>6720</v>
      </c>
      <c r="L14" s="7">
        <f t="shared" si="1"/>
        <v>6720</v>
      </c>
      <c r="M14" s="7">
        <f t="shared" si="1"/>
        <v>6720</v>
      </c>
      <c r="N14" s="7">
        <f t="shared" si="1"/>
        <v>6720</v>
      </c>
      <c r="O14" s="7">
        <f t="shared" si="1"/>
        <v>6720</v>
      </c>
      <c r="P14" s="7">
        <f t="shared" si="1"/>
        <v>6720</v>
      </c>
      <c r="Q14" s="7">
        <f t="shared" si="1"/>
        <v>6720</v>
      </c>
      <c r="R14" s="7">
        <f t="shared" si="1"/>
        <v>6720</v>
      </c>
      <c r="S14" s="7">
        <f t="shared" si="1"/>
        <v>6720</v>
      </c>
      <c r="T14" s="7">
        <f t="shared" si="1"/>
        <v>6720</v>
      </c>
      <c r="V14" s="7">
        <f t="shared" si="7"/>
        <v>20160</v>
      </c>
      <c r="W14" s="7">
        <f t="shared" si="8"/>
        <v>20160</v>
      </c>
      <c r="X14" s="7">
        <f t="shared" si="9"/>
        <v>20160</v>
      </c>
      <c r="Y14" s="7">
        <f t="shared" si="10"/>
        <v>20160</v>
      </c>
      <c r="AA14" s="7">
        <f t="shared" si="11"/>
        <v>80640</v>
      </c>
    </row>
    <row r="15" spans="3:27" x14ac:dyDescent="0.2">
      <c r="C15" s="28"/>
      <c r="D15" s="28"/>
      <c r="E15" s="38" t="s">
        <v>222</v>
      </c>
      <c r="F15" s="32">
        <v>48</v>
      </c>
      <c r="G15" s="39">
        <v>140</v>
      </c>
      <c r="H15" s="40">
        <v>46382</v>
      </c>
      <c r="I15" s="7">
        <f t="shared" si="1"/>
        <v>6720</v>
      </c>
      <c r="J15" s="7">
        <f t="shared" si="1"/>
        <v>6720</v>
      </c>
      <c r="K15" s="7">
        <f t="shared" si="1"/>
        <v>6720</v>
      </c>
      <c r="L15" s="7">
        <f t="shared" si="1"/>
        <v>6720</v>
      </c>
      <c r="M15" s="7">
        <f t="shared" si="1"/>
        <v>6720</v>
      </c>
      <c r="N15" s="7">
        <f t="shared" si="1"/>
        <v>6720</v>
      </c>
      <c r="O15" s="7">
        <f t="shared" si="1"/>
        <v>6720</v>
      </c>
      <c r="P15" s="7">
        <f t="shared" si="1"/>
        <v>6720</v>
      </c>
      <c r="Q15" s="7">
        <f t="shared" si="1"/>
        <v>6720</v>
      </c>
      <c r="R15" s="7">
        <f t="shared" si="1"/>
        <v>6720</v>
      </c>
      <c r="S15" s="7">
        <f t="shared" si="1"/>
        <v>6720</v>
      </c>
      <c r="T15" s="7">
        <f t="shared" si="1"/>
        <v>6720</v>
      </c>
      <c r="V15" s="7">
        <f t="shared" si="7"/>
        <v>20160</v>
      </c>
      <c r="W15" s="7">
        <f t="shared" si="8"/>
        <v>20160</v>
      </c>
      <c r="X15" s="7">
        <f t="shared" si="9"/>
        <v>20160</v>
      </c>
      <c r="Y15" s="7">
        <f t="shared" si="10"/>
        <v>20160</v>
      </c>
      <c r="AA15" s="7">
        <f t="shared" si="11"/>
        <v>80640</v>
      </c>
    </row>
    <row r="16" spans="3:27" x14ac:dyDescent="0.2">
      <c r="C16" s="28"/>
      <c r="D16" s="28"/>
      <c r="E16" s="38" t="s">
        <v>223</v>
      </c>
      <c r="F16" s="32">
        <v>50</v>
      </c>
      <c r="G16" s="39">
        <v>120</v>
      </c>
      <c r="H16" s="40">
        <v>46382</v>
      </c>
      <c r="I16" s="7">
        <f t="shared" si="1"/>
        <v>6000</v>
      </c>
      <c r="J16" s="7">
        <f t="shared" si="1"/>
        <v>6000</v>
      </c>
      <c r="K16" s="7">
        <f t="shared" si="1"/>
        <v>6000</v>
      </c>
      <c r="L16" s="7">
        <f t="shared" si="1"/>
        <v>6000</v>
      </c>
      <c r="M16" s="7">
        <f t="shared" si="1"/>
        <v>6000</v>
      </c>
      <c r="N16" s="7">
        <f t="shared" si="1"/>
        <v>6000</v>
      </c>
      <c r="O16" s="7">
        <f t="shared" si="1"/>
        <v>6000</v>
      </c>
      <c r="P16" s="7">
        <f t="shared" si="1"/>
        <v>6000</v>
      </c>
      <c r="Q16" s="7">
        <f t="shared" si="1"/>
        <v>6000</v>
      </c>
      <c r="R16" s="7">
        <f t="shared" si="1"/>
        <v>6000</v>
      </c>
      <c r="S16" s="7">
        <f t="shared" si="1"/>
        <v>6000</v>
      </c>
      <c r="T16" s="7">
        <f t="shared" si="1"/>
        <v>6000</v>
      </c>
      <c r="V16" s="7">
        <f t="shared" si="7"/>
        <v>18000</v>
      </c>
      <c r="W16" s="7">
        <f t="shared" si="8"/>
        <v>18000</v>
      </c>
      <c r="X16" s="7">
        <f t="shared" si="9"/>
        <v>18000</v>
      </c>
      <c r="Y16" s="7">
        <f t="shared" si="10"/>
        <v>18000</v>
      </c>
      <c r="AA16" s="7">
        <f t="shared" si="11"/>
        <v>72000</v>
      </c>
    </row>
    <row r="17" spans="3:27" x14ac:dyDescent="0.2">
      <c r="C17" s="28"/>
      <c r="D17" s="28"/>
      <c r="E17" s="38" t="s">
        <v>218</v>
      </c>
      <c r="F17" s="32">
        <v>40</v>
      </c>
      <c r="G17" s="39">
        <v>120</v>
      </c>
      <c r="H17" s="40">
        <v>46382</v>
      </c>
      <c r="I17" s="7">
        <f t="shared" si="1"/>
        <v>4800</v>
      </c>
      <c r="J17" s="7">
        <f t="shared" si="1"/>
        <v>4800</v>
      </c>
      <c r="K17" s="7">
        <f t="shared" si="1"/>
        <v>4800</v>
      </c>
      <c r="L17" s="7">
        <f t="shared" si="1"/>
        <v>4800</v>
      </c>
      <c r="M17" s="7">
        <f t="shared" si="1"/>
        <v>4800</v>
      </c>
      <c r="N17" s="7">
        <f t="shared" si="1"/>
        <v>4800</v>
      </c>
      <c r="O17" s="7">
        <f t="shared" si="1"/>
        <v>4800</v>
      </c>
      <c r="P17" s="7">
        <f t="shared" si="1"/>
        <v>4800</v>
      </c>
      <c r="Q17" s="7">
        <f t="shared" si="1"/>
        <v>4800</v>
      </c>
      <c r="R17" s="7">
        <f t="shared" si="1"/>
        <v>4800</v>
      </c>
      <c r="S17" s="7">
        <f t="shared" si="1"/>
        <v>4800</v>
      </c>
      <c r="T17" s="7">
        <f t="shared" si="1"/>
        <v>4800</v>
      </c>
      <c r="V17" s="7">
        <f t="shared" si="7"/>
        <v>14400</v>
      </c>
      <c r="W17" s="7">
        <f t="shared" si="8"/>
        <v>14400</v>
      </c>
      <c r="X17" s="7">
        <f t="shared" si="9"/>
        <v>14400</v>
      </c>
      <c r="Y17" s="7">
        <f t="shared" si="10"/>
        <v>14400</v>
      </c>
      <c r="AA17" s="7">
        <f t="shared" si="11"/>
        <v>57600</v>
      </c>
    </row>
    <row r="18" spans="3:27" x14ac:dyDescent="0.2">
      <c r="C18" s="28"/>
      <c r="D18" s="28"/>
      <c r="E18" s="38" t="s">
        <v>223</v>
      </c>
      <c r="F18" s="32">
        <v>40</v>
      </c>
      <c r="G18" s="39">
        <v>160</v>
      </c>
      <c r="H18" s="40">
        <v>46382</v>
      </c>
      <c r="I18" s="7">
        <f t="shared" si="1"/>
        <v>6400</v>
      </c>
      <c r="J18" s="7">
        <f t="shared" si="1"/>
        <v>6400</v>
      </c>
      <c r="K18" s="7">
        <f t="shared" si="1"/>
        <v>6400</v>
      </c>
      <c r="L18" s="7">
        <f t="shared" si="1"/>
        <v>6400</v>
      </c>
      <c r="M18" s="7">
        <f t="shared" si="1"/>
        <v>6400</v>
      </c>
      <c r="N18" s="7">
        <f t="shared" si="1"/>
        <v>6400</v>
      </c>
      <c r="O18" s="7">
        <f t="shared" si="1"/>
        <v>6400</v>
      </c>
      <c r="P18" s="7">
        <f t="shared" si="1"/>
        <v>6400</v>
      </c>
      <c r="Q18" s="7">
        <f t="shared" si="1"/>
        <v>6400</v>
      </c>
      <c r="R18" s="7">
        <f t="shared" si="1"/>
        <v>6400</v>
      </c>
      <c r="S18" s="7">
        <f t="shared" si="1"/>
        <v>6400</v>
      </c>
      <c r="T18" s="7">
        <f t="shared" si="1"/>
        <v>6400</v>
      </c>
      <c r="V18" s="7">
        <f t="shared" si="7"/>
        <v>19200</v>
      </c>
      <c r="W18" s="7">
        <f t="shared" si="8"/>
        <v>19200</v>
      </c>
      <c r="X18" s="7">
        <f t="shared" si="9"/>
        <v>19200</v>
      </c>
      <c r="Y18" s="7">
        <f t="shared" si="10"/>
        <v>19200</v>
      </c>
      <c r="AA18" s="7">
        <f t="shared" si="11"/>
        <v>76800</v>
      </c>
    </row>
    <row r="19" spans="3:27" x14ac:dyDescent="0.2">
      <c r="C19" s="28"/>
      <c r="D19" s="28"/>
      <c r="E19" s="38" t="s">
        <v>224</v>
      </c>
      <c r="F19" s="32">
        <v>120</v>
      </c>
      <c r="G19" s="39">
        <v>160</v>
      </c>
      <c r="H19" s="40">
        <v>46382</v>
      </c>
      <c r="I19" s="7">
        <f t="shared" si="1"/>
        <v>19200</v>
      </c>
      <c r="J19" s="7">
        <f t="shared" si="1"/>
        <v>19200</v>
      </c>
      <c r="K19" s="7">
        <f t="shared" si="1"/>
        <v>19200</v>
      </c>
      <c r="L19" s="7">
        <f t="shared" si="1"/>
        <v>19200</v>
      </c>
      <c r="M19" s="7">
        <f t="shared" si="1"/>
        <v>19200</v>
      </c>
      <c r="N19" s="7">
        <f t="shared" si="1"/>
        <v>19200</v>
      </c>
      <c r="O19" s="7">
        <f t="shared" si="1"/>
        <v>19200</v>
      </c>
      <c r="P19" s="7">
        <f t="shared" si="1"/>
        <v>19200</v>
      </c>
      <c r="Q19" s="7">
        <f t="shared" si="1"/>
        <v>19200</v>
      </c>
      <c r="R19" s="7">
        <f t="shared" si="1"/>
        <v>19200</v>
      </c>
      <c r="S19" s="7">
        <f t="shared" si="1"/>
        <v>19200</v>
      </c>
      <c r="T19" s="7">
        <f t="shared" si="1"/>
        <v>19200</v>
      </c>
      <c r="V19" s="7">
        <f t="shared" si="7"/>
        <v>57600</v>
      </c>
      <c r="W19" s="7">
        <f t="shared" si="8"/>
        <v>57600</v>
      </c>
      <c r="X19" s="7">
        <f t="shared" si="9"/>
        <v>57600</v>
      </c>
      <c r="Y19" s="7">
        <f t="shared" si="10"/>
        <v>57600</v>
      </c>
      <c r="AA19" s="7">
        <f t="shared" si="11"/>
        <v>230400</v>
      </c>
    </row>
    <row r="20" spans="3:27" x14ac:dyDescent="0.2">
      <c r="C20" s="17" t="s">
        <v>225</v>
      </c>
      <c r="D20" s="17"/>
      <c r="E20" s="12"/>
      <c r="F20" s="31"/>
      <c r="G20" s="31"/>
      <c r="H20" s="31"/>
      <c r="I20" s="18">
        <f t="shared" ref="I20:T20" si="12">SUM(I7:I19)</f>
        <v>104440</v>
      </c>
      <c r="J20" s="18">
        <f t="shared" si="12"/>
        <v>104440</v>
      </c>
      <c r="K20" s="18">
        <f t="shared" si="12"/>
        <v>104440</v>
      </c>
      <c r="L20" s="18">
        <f t="shared" si="12"/>
        <v>104440</v>
      </c>
      <c r="M20" s="18">
        <f t="shared" si="12"/>
        <v>104440</v>
      </c>
      <c r="N20" s="18">
        <f t="shared" si="12"/>
        <v>104440</v>
      </c>
      <c r="O20" s="18">
        <f t="shared" si="12"/>
        <v>104440</v>
      </c>
      <c r="P20" s="18">
        <f t="shared" si="12"/>
        <v>104440</v>
      </c>
      <c r="Q20" s="18">
        <f t="shared" si="12"/>
        <v>104440</v>
      </c>
      <c r="R20" s="18">
        <f t="shared" si="12"/>
        <v>104440</v>
      </c>
      <c r="S20" s="18">
        <f t="shared" si="12"/>
        <v>104440</v>
      </c>
      <c r="T20" s="18">
        <f t="shared" si="12"/>
        <v>104440</v>
      </c>
      <c r="V20" s="18">
        <f>SUM(V7:V19)</f>
        <v>313320</v>
      </c>
      <c r="W20" s="18">
        <f>SUM(W7:W19)</f>
        <v>313320</v>
      </c>
      <c r="X20" s="18">
        <f>SUM(X7:X19)</f>
        <v>313320</v>
      </c>
      <c r="Y20" s="18">
        <f>SUM(Y7:Y19)</f>
        <v>313320</v>
      </c>
      <c r="AA20" s="18">
        <f>SUM(AA7:AA19)</f>
        <v>1253280</v>
      </c>
    </row>
    <row r="21" spans="3:27" ht="6" customHeight="1" x14ac:dyDescent="0.2"/>
    <row r="22" spans="3:27" hidden="1" x14ac:dyDescent="0.2">
      <c r="H22" s="74" t="s">
        <v>226</v>
      </c>
      <c r="I22" s="41"/>
      <c r="J22" s="41"/>
      <c r="K22" s="41">
        <v>40000</v>
      </c>
      <c r="L22" s="41">
        <v>40000</v>
      </c>
      <c r="M22" s="41">
        <v>40000</v>
      </c>
      <c r="N22" s="41">
        <v>40000</v>
      </c>
      <c r="O22" s="41">
        <v>40000</v>
      </c>
      <c r="P22" s="41">
        <v>40000</v>
      </c>
      <c r="Q22" s="41">
        <v>40000</v>
      </c>
      <c r="R22" s="41">
        <v>40000</v>
      </c>
      <c r="S22" s="41">
        <v>40000</v>
      </c>
      <c r="T22" s="41">
        <v>40000</v>
      </c>
      <c r="V22" s="7"/>
      <c r="W22" s="7"/>
      <c r="X22" s="7"/>
      <c r="Y22" s="7"/>
    </row>
    <row r="23" spans="3:27" hidden="1" x14ac:dyDescent="0.2">
      <c r="H23" s="74" t="s">
        <v>227</v>
      </c>
      <c r="I23" s="41"/>
      <c r="J23" s="41"/>
      <c r="K23" s="56">
        <f>K20-K22</f>
        <v>64440</v>
      </c>
      <c r="L23" s="56">
        <f t="shared" ref="L23:T23" si="13">L20-L22</f>
        <v>64440</v>
      </c>
      <c r="M23" s="56">
        <f t="shared" si="13"/>
        <v>64440</v>
      </c>
      <c r="N23" s="56">
        <f t="shared" si="13"/>
        <v>64440</v>
      </c>
      <c r="O23" s="56">
        <f t="shared" si="13"/>
        <v>64440</v>
      </c>
      <c r="P23" s="56">
        <f t="shared" si="13"/>
        <v>64440</v>
      </c>
      <c r="Q23" s="56">
        <f t="shared" si="13"/>
        <v>64440</v>
      </c>
      <c r="R23" s="56">
        <f t="shared" si="13"/>
        <v>64440</v>
      </c>
      <c r="S23" s="56">
        <f t="shared" si="13"/>
        <v>64440</v>
      </c>
      <c r="T23" s="56">
        <f t="shared" si="13"/>
        <v>64440</v>
      </c>
      <c r="V23" s="7"/>
      <c r="W23" s="7"/>
      <c r="X23" s="7"/>
      <c r="Y23" s="7"/>
    </row>
    <row r="24" spans="3:27" ht="6" customHeight="1" x14ac:dyDescent="0.2"/>
    <row r="25" spans="3:27" ht="15" thickBot="1" x14ac:dyDescent="0.25">
      <c r="C25" s="17" t="s">
        <v>228</v>
      </c>
      <c r="I25" s="25">
        <f>I20</f>
        <v>104440</v>
      </c>
      <c r="J25" s="25">
        <f t="shared" ref="J25:T25" si="14">J20</f>
        <v>104440</v>
      </c>
      <c r="K25" s="25">
        <f t="shared" si="14"/>
        <v>104440</v>
      </c>
      <c r="L25" s="25">
        <f t="shared" si="14"/>
        <v>104440</v>
      </c>
      <c r="M25" s="25">
        <f t="shared" si="14"/>
        <v>104440</v>
      </c>
      <c r="N25" s="25">
        <f t="shared" si="14"/>
        <v>104440</v>
      </c>
      <c r="O25" s="25">
        <f t="shared" si="14"/>
        <v>104440</v>
      </c>
      <c r="P25" s="25">
        <f t="shared" si="14"/>
        <v>104440</v>
      </c>
      <c r="Q25" s="25">
        <f t="shared" si="14"/>
        <v>104440</v>
      </c>
      <c r="R25" s="25">
        <f t="shared" si="14"/>
        <v>104440</v>
      </c>
      <c r="S25" s="25">
        <f t="shared" si="14"/>
        <v>104440</v>
      </c>
      <c r="T25" s="25">
        <f t="shared" si="14"/>
        <v>104440</v>
      </c>
      <c r="V25" s="25">
        <f t="shared" ref="V25" si="15">SUM(I25:K25)</f>
        <v>313320</v>
      </c>
      <c r="W25" s="25">
        <f t="shared" ref="W25" si="16">SUM(L25:N25)</f>
        <v>313320</v>
      </c>
      <c r="X25" s="25">
        <f t="shared" ref="X25" si="17">SUM(O25:Q25)</f>
        <v>313320</v>
      </c>
      <c r="Y25" s="25">
        <f t="shared" ref="Y25" si="18">SUM(R25:T25)</f>
        <v>313320</v>
      </c>
      <c r="AA25" s="25">
        <f t="shared" ref="AA25" si="19">SUM(V25:Y25)</f>
        <v>1253280</v>
      </c>
    </row>
    <row r="27" spans="3:27" x14ac:dyDescent="0.2">
      <c r="I27" s="76"/>
    </row>
    <row r="28" spans="3:27" x14ac:dyDescent="0.2">
      <c r="I28" s="75"/>
    </row>
    <row r="29" spans="3:27" x14ac:dyDescent="0.2">
      <c r="I29" s="75"/>
    </row>
    <row r="30" spans="3:27" x14ac:dyDescent="0.2">
      <c r="I30" s="75"/>
    </row>
    <row r="34" spans="9:9" x14ac:dyDescent="0.2">
      <c r="I34" s="7"/>
    </row>
    <row r="35" spans="9:9" x14ac:dyDescent="0.2">
      <c r="I35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9FB4-E0E3-40D4-B102-4D6A22AF3594}">
  <sheetPr>
    <tabColor theme="1" tint="0.499984740745262"/>
  </sheetPr>
  <dimension ref="C2:W20"/>
  <sheetViews>
    <sheetView showGridLines="0" zoomScaleNormal="100" workbookViewId="0">
      <selection activeCell="W15" sqref="W15"/>
    </sheetView>
  </sheetViews>
  <sheetFormatPr baseColWidth="10" defaultColWidth="8.83203125" defaultRowHeight="14" x14ac:dyDescent="0.2"/>
  <cols>
    <col min="1" max="2" width="3.6640625" style="1" customWidth="1"/>
    <col min="3" max="3" width="36" style="1" customWidth="1"/>
    <col min="4" max="4" width="20.6640625" style="28" customWidth="1"/>
    <col min="5" max="16" width="10.6640625" style="1" customWidth="1"/>
    <col min="17" max="17" width="3.6640625" style="1" customWidth="1"/>
    <col min="18" max="21" width="10.6640625" style="1" customWidth="1"/>
    <col min="22" max="22" width="3.6640625" style="1" customWidth="1"/>
    <col min="23" max="23" width="10.6640625" style="1" customWidth="1"/>
    <col min="24" max="25" width="3.6640625" style="1" customWidth="1"/>
    <col min="26" max="16384" width="8.83203125" style="1"/>
  </cols>
  <sheetData>
    <row r="2" spans="3:23" x14ac:dyDescent="0.2">
      <c r="C2" s="27" t="s">
        <v>0</v>
      </c>
      <c r="D2" s="3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3:23" x14ac:dyDescent="0.2">
      <c r="C3" s="14" t="s">
        <v>34</v>
      </c>
      <c r="D3" s="36"/>
    </row>
    <row r="4" spans="3:23" ht="6" customHeight="1" x14ac:dyDescent="0.2"/>
    <row r="5" spans="3:23" ht="14" customHeight="1" thickBot="1" x14ac:dyDescent="0.25">
      <c r="C5" s="6" t="s">
        <v>151</v>
      </c>
      <c r="D5" s="37" t="s">
        <v>152</v>
      </c>
      <c r="E5" s="11">
        <v>46023</v>
      </c>
      <c r="F5" s="11">
        <f>EOMONTH(E5,0)+1</f>
        <v>46054</v>
      </c>
      <c r="G5" s="11">
        <f t="shared" ref="G5:P5" si="0">EOMONTH(F5,0)+1</f>
        <v>46082</v>
      </c>
      <c r="H5" s="11">
        <f t="shared" si="0"/>
        <v>46113</v>
      </c>
      <c r="I5" s="11">
        <f t="shared" si="0"/>
        <v>46143</v>
      </c>
      <c r="J5" s="11">
        <f t="shared" si="0"/>
        <v>46174</v>
      </c>
      <c r="K5" s="11">
        <f t="shared" si="0"/>
        <v>46204</v>
      </c>
      <c r="L5" s="11">
        <f t="shared" si="0"/>
        <v>46235</v>
      </c>
      <c r="M5" s="11">
        <f t="shared" si="0"/>
        <v>46266</v>
      </c>
      <c r="N5" s="11">
        <f t="shared" si="0"/>
        <v>46296</v>
      </c>
      <c r="O5" s="11">
        <f t="shared" si="0"/>
        <v>46327</v>
      </c>
      <c r="P5" s="11">
        <f t="shared" si="0"/>
        <v>46357</v>
      </c>
      <c r="R5" s="20" t="s">
        <v>3</v>
      </c>
      <c r="S5" s="20" t="s">
        <v>4</v>
      </c>
      <c r="T5" s="20" t="s">
        <v>5</v>
      </c>
      <c r="U5" s="20" t="s">
        <v>6</v>
      </c>
      <c r="W5" s="20" t="s">
        <v>7</v>
      </c>
    </row>
    <row r="6" spans="3:23" ht="6" customHeight="1" x14ac:dyDescent="0.2"/>
    <row r="7" spans="3:23" x14ac:dyDescent="0.2">
      <c r="C7" s="28" t="s">
        <v>229</v>
      </c>
      <c r="D7" s="38" t="s">
        <v>230</v>
      </c>
      <c r="E7" s="41">
        <v>0</v>
      </c>
      <c r="F7" s="41">
        <v>5000</v>
      </c>
      <c r="G7" s="41">
        <v>5000</v>
      </c>
      <c r="H7" s="41">
        <v>5000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R7" s="7">
        <f>SUM(E7:G7)</f>
        <v>10000</v>
      </c>
      <c r="S7" s="7">
        <f t="shared" ref="S7" si="1">SUM(H7:J7)</f>
        <v>5000</v>
      </c>
      <c r="T7" s="7">
        <f t="shared" ref="T7" si="2">SUM(K7:M7)</f>
        <v>0</v>
      </c>
      <c r="U7" s="7">
        <f t="shared" ref="U7" si="3">SUM(N7:P7)</f>
        <v>0</v>
      </c>
      <c r="W7" s="7">
        <f t="shared" ref="W7" si="4">SUM(R7:U7)</f>
        <v>15000</v>
      </c>
    </row>
    <row r="8" spans="3:23" x14ac:dyDescent="0.2">
      <c r="C8" s="28" t="s">
        <v>231</v>
      </c>
      <c r="D8" s="38" t="s">
        <v>232</v>
      </c>
      <c r="E8" s="41">
        <v>2000</v>
      </c>
      <c r="F8" s="41">
        <v>2000</v>
      </c>
      <c r="G8" s="41">
        <v>2000</v>
      </c>
      <c r="H8" s="41">
        <v>2000</v>
      </c>
      <c r="I8" s="41">
        <v>2000</v>
      </c>
      <c r="J8" s="41">
        <v>2000</v>
      </c>
      <c r="K8" s="41">
        <v>2000</v>
      </c>
      <c r="L8" s="41">
        <v>2000</v>
      </c>
      <c r="M8" s="41">
        <v>2000</v>
      </c>
      <c r="N8" s="41">
        <v>2000</v>
      </c>
      <c r="O8" s="41">
        <v>2000</v>
      </c>
      <c r="P8" s="41">
        <v>2000</v>
      </c>
      <c r="R8" s="7">
        <f t="shared" ref="R8:R9" si="5">SUM(E8:G8)</f>
        <v>6000</v>
      </c>
      <c r="S8" s="7">
        <f t="shared" ref="S8" si="6">SUM(H8:J8)</f>
        <v>6000</v>
      </c>
      <c r="T8" s="7">
        <f t="shared" ref="T8" si="7">SUM(K8:M8)</f>
        <v>6000</v>
      </c>
      <c r="U8" s="7">
        <f t="shared" ref="U8" si="8">SUM(N8:P8)</f>
        <v>6000</v>
      </c>
      <c r="W8" s="7">
        <f t="shared" ref="W8" si="9">SUM(R8:U8)</f>
        <v>24000</v>
      </c>
    </row>
    <row r="9" spans="3:23" x14ac:dyDescent="0.2">
      <c r="C9" s="28" t="s">
        <v>233</v>
      </c>
      <c r="D9" s="38" t="s">
        <v>234</v>
      </c>
      <c r="E9" s="41">
        <v>2500</v>
      </c>
      <c r="F9" s="41">
        <v>2500</v>
      </c>
      <c r="G9" s="41">
        <v>2500</v>
      </c>
      <c r="H9" s="41">
        <v>2500</v>
      </c>
      <c r="I9" s="41">
        <v>2500</v>
      </c>
      <c r="J9" s="41">
        <v>5000</v>
      </c>
      <c r="K9" s="41">
        <v>5000</v>
      </c>
      <c r="L9" s="41">
        <v>5000</v>
      </c>
      <c r="M9" s="41">
        <v>5000</v>
      </c>
      <c r="N9" s="41">
        <v>5000</v>
      </c>
      <c r="O9" s="41">
        <v>5000</v>
      </c>
      <c r="P9" s="41">
        <v>5000</v>
      </c>
      <c r="R9" s="7">
        <f t="shared" si="5"/>
        <v>7500</v>
      </c>
      <c r="S9" s="7">
        <f>SUM(H9:J9)</f>
        <v>10000</v>
      </c>
      <c r="T9" s="7">
        <f>SUM(K9:M9)</f>
        <v>15000</v>
      </c>
      <c r="U9" s="7">
        <f>SUM(N9:P9)</f>
        <v>15000</v>
      </c>
      <c r="W9" s="7">
        <f>SUM(R9:U9)</f>
        <v>47500</v>
      </c>
    </row>
    <row r="10" spans="3:23" x14ac:dyDescent="0.2">
      <c r="C10" s="17" t="s">
        <v>235</v>
      </c>
      <c r="D10" s="12"/>
      <c r="E10" s="18">
        <f t="shared" ref="E10:P10" si="10">SUM(E7:E9)</f>
        <v>4500</v>
      </c>
      <c r="F10" s="18">
        <f t="shared" si="10"/>
        <v>9500</v>
      </c>
      <c r="G10" s="18">
        <f t="shared" si="10"/>
        <v>9500</v>
      </c>
      <c r="H10" s="18">
        <f t="shared" si="10"/>
        <v>9500</v>
      </c>
      <c r="I10" s="18">
        <f t="shared" si="10"/>
        <v>4500</v>
      </c>
      <c r="J10" s="18">
        <f t="shared" si="10"/>
        <v>7000</v>
      </c>
      <c r="K10" s="18">
        <f t="shared" si="10"/>
        <v>7000</v>
      </c>
      <c r="L10" s="18">
        <f t="shared" si="10"/>
        <v>7000</v>
      </c>
      <c r="M10" s="18">
        <f t="shared" si="10"/>
        <v>7000</v>
      </c>
      <c r="N10" s="18">
        <f t="shared" si="10"/>
        <v>7000</v>
      </c>
      <c r="O10" s="18">
        <f t="shared" si="10"/>
        <v>7000</v>
      </c>
      <c r="P10" s="18">
        <f t="shared" si="10"/>
        <v>7000</v>
      </c>
      <c r="R10" s="18">
        <f>SUM(R7:R9)</f>
        <v>23500</v>
      </c>
      <c r="S10" s="18">
        <f>SUM(S7:S9)</f>
        <v>21000</v>
      </c>
      <c r="T10" s="18">
        <f>SUM(T7:T9)</f>
        <v>21000</v>
      </c>
      <c r="U10" s="18">
        <f>SUM(U7:U9)</f>
        <v>21000</v>
      </c>
      <c r="W10" s="18">
        <f>SUM(W7:W9)</f>
        <v>86500</v>
      </c>
    </row>
    <row r="12" spans="3:23" x14ac:dyDescent="0.2">
      <c r="C12" s="17" t="s">
        <v>86</v>
      </c>
      <c r="D12" s="108" t="str">
        <f>Other!D28</f>
        <v>High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spans="3:23" x14ac:dyDescent="0.2">
      <c r="C13" s="107" t="s">
        <v>236</v>
      </c>
      <c r="D13" s="102">
        <v>10000</v>
      </c>
    </row>
    <row r="14" spans="3:23" x14ac:dyDescent="0.2">
      <c r="C14" s="1" t="s">
        <v>237</v>
      </c>
      <c r="D14" s="102">
        <v>30000</v>
      </c>
    </row>
    <row r="15" spans="3:23" x14ac:dyDescent="0.2">
      <c r="C15" s="107" t="s">
        <v>238</v>
      </c>
      <c r="D15" s="102">
        <v>10000</v>
      </c>
    </row>
    <row r="16" spans="3:23" x14ac:dyDescent="0.2">
      <c r="C16" s="1" t="s">
        <v>239</v>
      </c>
      <c r="D16" s="102">
        <v>40000</v>
      </c>
    </row>
    <row r="17" spans="3:4" x14ac:dyDescent="0.2">
      <c r="C17" s="1" t="s">
        <v>240</v>
      </c>
      <c r="D17" s="102">
        <v>125000</v>
      </c>
    </row>
    <row r="18" spans="3:4" x14ac:dyDescent="0.2">
      <c r="C18" s="1" t="s">
        <v>241</v>
      </c>
      <c r="D18" s="102">
        <v>175000</v>
      </c>
    </row>
    <row r="19" spans="3:4" x14ac:dyDescent="0.2">
      <c r="C19" s="1" t="s">
        <v>242</v>
      </c>
      <c r="D19" s="102">
        <v>25000</v>
      </c>
    </row>
    <row r="20" spans="3:4" x14ac:dyDescent="0.2">
      <c r="C20" s="1" t="s">
        <v>243</v>
      </c>
      <c r="D20" s="102">
        <v>25000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9EDA-9923-4EEF-A036-C5F20634CCF0}">
  <sheetPr>
    <tabColor theme="1" tint="0.499984740745262"/>
  </sheetPr>
  <dimension ref="C2:W36"/>
  <sheetViews>
    <sheetView showGridLines="0" topLeftCell="D1" workbookViewId="0">
      <selection activeCell="F23" sqref="F23"/>
    </sheetView>
  </sheetViews>
  <sheetFormatPr baseColWidth="10" defaultColWidth="8.83203125" defaultRowHeight="14" x14ac:dyDescent="0.2"/>
  <cols>
    <col min="1" max="2" width="3.6640625" style="1" customWidth="1"/>
    <col min="3" max="3" width="36" style="1" customWidth="1"/>
    <col min="4" max="4" width="29.6640625" style="28" bestFit="1" customWidth="1"/>
    <col min="5" max="16" width="10.6640625" style="1" customWidth="1"/>
    <col min="17" max="17" width="3.6640625" style="1" customWidth="1"/>
    <col min="18" max="21" width="10.6640625" style="1" customWidth="1"/>
    <col min="22" max="22" width="3.6640625" style="1" customWidth="1"/>
    <col min="23" max="23" width="10.6640625" style="1" customWidth="1"/>
    <col min="24" max="25" width="3.6640625" style="1" customWidth="1"/>
    <col min="26" max="16384" width="8.83203125" style="1"/>
  </cols>
  <sheetData>
    <row r="2" spans="3:23" x14ac:dyDescent="0.2">
      <c r="C2" s="27" t="s">
        <v>0</v>
      </c>
      <c r="D2" s="3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3:23" x14ac:dyDescent="0.2">
      <c r="C3" s="14" t="s">
        <v>35</v>
      </c>
      <c r="D3" s="36"/>
    </row>
    <row r="4" spans="3:23" ht="6" customHeight="1" x14ac:dyDescent="0.2"/>
    <row r="5" spans="3:23" ht="14" customHeight="1" thickBot="1" x14ac:dyDescent="0.25">
      <c r="C5" s="6" t="s">
        <v>151</v>
      </c>
      <c r="D5" s="37" t="s">
        <v>152</v>
      </c>
      <c r="E5" s="11">
        <v>46023</v>
      </c>
      <c r="F5" s="11">
        <f>EOMONTH(E5,0)+1</f>
        <v>46054</v>
      </c>
      <c r="G5" s="11">
        <f t="shared" ref="G5:P5" si="0">EOMONTH(F5,0)+1</f>
        <v>46082</v>
      </c>
      <c r="H5" s="11">
        <f t="shared" si="0"/>
        <v>46113</v>
      </c>
      <c r="I5" s="11">
        <f t="shared" si="0"/>
        <v>46143</v>
      </c>
      <c r="J5" s="11">
        <f t="shared" si="0"/>
        <v>46174</v>
      </c>
      <c r="K5" s="11">
        <f t="shared" si="0"/>
        <v>46204</v>
      </c>
      <c r="L5" s="11">
        <f t="shared" si="0"/>
        <v>46235</v>
      </c>
      <c r="M5" s="11">
        <f t="shared" si="0"/>
        <v>46266</v>
      </c>
      <c r="N5" s="11">
        <f t="shared" si="0"/>
        <v>46296</v>
      </c>
      <c r="O5" s="11">
        <f t="shared" si="0"/>
        <v>46327</v>
      </c>
      <c r="P5" s="11">
        <f t="shared" si="0"/>
        <v>46357</v>
      </c>
      <c r="R5" s="20" t="s">
        <v>3</v>
      </c>
      <c r="S5" s="20" t="s">
        <v>4</v>
      </c>
      <c r="T5" s="20" t="s">
        <v>5</v>
      </c>
      <c r="U5" s="20" t="s">
        <v>6</v>
      </c>
      <c r="W5" s="20" t="s">
        <v>7</v>
      </c>
    </row>
    <row r="6" spans="3:23" ht="6" customHeight="1" x14ac:dyDescent="0.2"/>
    <row r="7" spans="3:23" x14ac:dyDescent="0.2">
      <c r="C7" s="28" t="s">
        <v>244</v>
      </c>
      <c r="D7" s="38" t="s">
        <v>245</v>
      </c>
      <c r="E7" s="41">
        <v>0</v>
      </c>
      <c r="F7" s="41">
        <v>1773.11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R7" s="7">
        <f t="shared" ref="R7:R30" si="1">SUM(E7:G7)</f>
        <v>1773.11</v>
      </c>
      <c r="S7" s="7">
        <f t="shared" ref="S7:S30" si="2">SUM(H7:J7)</f>
        <v>0</v>
      </c>
      <c r="T7" s="7">
        <f t="shared" ref="T7:T30" si="3">SUM(K7:M7)</f>
        <v>0</v>
      </c>
      <c r="U7" s="7">
        <f t="shared" ref="U7:U30" si="4">SUM(N7:P7)</f>
        <v>0</v>
      </c>
      <c r="W7" s="7">
        <f t="shared" ref="W7:W30" si="5">SUM(R7:U7)</f>
        <v>1773.11</v>
      </c>
    </row>
    <row r="8" spans="3:23" x14ac:dyDescent="0.2">
      <c r="C8" s="28" t="s">
        <v>246</v>
      </c>
      <c r="D8" s="38" t="s">
        <v>245</v>
      </c>
      <c r="E8" s="41">
        <v>876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R8" s="7">
        <f t="shared" si="1"/>
        <v>876</v>
      </c>
      <c r="S8" s="7">
        <f t="shared" si="2"/>
        <v>0</v>
      </c>
      <c r="T8" s="7">
        <f t="shared" si="3"/>
        <v>0</v>
      </c>
      <c r="U8" s="7">
        <f t="shared" si="4"/>
        <v>0</v>
      </c>
      <c r="W8" s="7">
        <f t="shared" si="5"/>
        <v>876</v>
      </c>
    </row>
    <row r="9" spans="3:23" x14ac:dyDescent="0.2">
      <c r="C9" s="28" t="s">
        <v>247</v>
      </c>
      <c r="D9" s="38" t="s">
        <v>245</v>
      </c>
      <c r="E9" s="41">
        <v>200</v>
      </c>
      <c r="F9" s="41">
        <v>200</v>
      </c>
      <c r="G9" s="41">
        <v>200</v>
      </c>
      <c r="H9" s="41">
        <v>200</v>
      </c>
      <c r="I9" s="41">
        <v>200</v>
      </c>
      <c r="J9" s="41">
        <v>200</v>
      </c>
      <c r="K9" s="41">
        <v>200</v>
      </c>
      <c r="L9" s="41">
        <v>200</v>
      </c>
      <c r="M9" s="41">
        <v>200</v>
      </c>
      <c r="N9" s="41">
        <v>200</v>
      </c>
      <c r="O9" s="41">
        <v>200</v>
      </c>
      <c r="P9" s="41">
        <v>200</v>
      </c>
      <c r="R9" s="7">
        <f t="shared" si="1"/>
        <v>600</v>
      </c>
      <c r="S9" s="7">
        <f t="shared" si="2"/>
        <v>600</v>
      </c>
      <c r="T9" s="7">
        <f t="shared" si="3"/>
        <v>600</v>
      </c>
      <c r="U9" s="7">
        <f t="shared" si="4"/>
        <v>600</v>
      </c>
      <c r="W9" s="7">
        <f t="shared" si="5"/>
        <v>2400</v>
      </c>
    </row>
    <row r="10" spans="3:23" x14ac:dyDescent="0.2">
      <c r="C10" s="28" t="s">
        <v>248</v>
      </c>
      <c r="D10" s="38" t="s">
        <v>245</v>
      </c>
      <c r="E10" s="41">
        <v>500</v>
      </c>
      <c r="F10" s="41">
        <v>500</v>
      </c>
      <c r="G10" s="41">
        <v>500</v>
      </c>
      <c r="H10" s="41">
        <v>500</v>
      </c>
      <c r="I10" s="41">
        <v>500</v>
      </c>
      <c r="J10" s="41">
        <v>500</v>
      </c>
      <c r="K10" s="41">
        <v>500</v>
      </c>
      <c r="L10" s="41">
        <v>500</v>
      </c>
      <c r="M10" s="41">
        <v>500</v>
      </c>
      <c r="N10" s="41">
        <v>500</v>
      </c>
      <c r="O10" s="41">
        <v>500</v>
      </c>
      <c r="P10" s="41">
        <v>500</v>
      </c>
      <c r="R10" s="7">
        <f t="shared" si="1"/>
        <v>1500</v>
      </c>
      <c r="S10" s="7">
        <f t="shared" si="2"/>
        <v>1500</v>
      </c>
      <c r="T10" s="7">
        <f t="shared" si="3"/>
        <v>1500</v>
      </c>
      <c r="U10" s="7">
        <f t="shared" si="4"/>
        <v>1500</v>
      </c>
      <c r="W10" s="7">
        <f t="shared" si="5"/>
        <v>6000</v>
      </c>
    </row>
    <row r="11" spans="3:23" x14ac:dyDescent="0.2">
      <c r="C11" s="28" t="s">
        <v>249</v>
      </c>
      <c r="D11" s="38" t="s">
        <v>245</v>
      </c>
      <c r="E11" s="41">
        <v>650</v>
      </c>
      <c r="F11" s="41">
        <v>650</v>
      </c>
      <c r="G11" s="41">
        <v>650</v>
      </c>
      <c r="H11" s="41">
        <v>650</v>
      </c>
      <c r="I11" s="41">
        <v>650</v>
      </c>
      <c r="J11" s="41">
        <v>650</v>
      </c>
      <c r="K11" s="41">
        <v>650</v>
      </c>
      <c r="L11" s="41">
        <v>650</v>
      </c>
      <c r="M11" s="41">
        <v>650</v>
      </c>
      <c r="N11" s="41">
        <v>650</v>
      </c>
      <c r="O11" s="41">
        <v>650</v>
      </c>
      <c r="P11" s="41">
        <v>650</v>
      </c>
      <c r="R11" s="7">
        <f t="shared" si="1"/>
        <v>1950</v>
      </c>
      <c r="S11" s="7">
        <f t="shared" ref="S11:S29" si="6">SUM(H11:J11)</f>
        <v>1950</v>
      </c>
      <c r="T11" s="7">
        <f t="shared" ref="T11:T29" si="7">SUM(K11:M11)</f>
        <v>1950</v>
      </c>
      <c r="U11" s="7">
        <f t="shared" ref="U11:U29" si="8">SUM(N11:P11)</f>
        <v>1950</v>
      </c>
      <c r="W11" s="7">
        <f t="shared" ref="W11:W29" si="9">SUM(R11:U11)</f>
        <v>7800</v>
      </c>
    </row>
    <row r="12" spans="3:23" x14ac:dyDescent="0.2">
      <c r="C12" s="28" t="s">
        <v>250</v>
      </c>
      <c r="D12" s="38" t="s">
        <v>245</v>
      </c>
      <c r="E12" s="41">
        <v>1200</v>
      </c>
      <c r="F12" s="41">
        <v>1200</v>
      </c>
      <c r="G12" s="41">
        <v>1200</v>
      </c>
      <c r="H12" s="41">
        <v>1200</v>
      </c>
      <c r="I12" s="41">
        <v>1200</v>
      </c>
      <c r="J12" s="41">
        <v>1200</v>
      </c>
      <c r="K12" s="41">
        <v>1200</v>
      </c>
      <c r="L12" s="41">
        <v>1200</v>
      </c>
      <c r="M12" s="41">
        <v>1200</v>
      </c>
      <c r="N12" s="41">
        <v>1200</v>
      </c>
      <c r="O12" s="41">
        <v>1200</v>
      </c>
      <c r="P12" s="41">
        <v>1200</v>
      </c>
      <c r="R12" s="7">
        <f t="shared" si="1"/>
        <v>3600</v>
      </c>
      <c r="S12" s="7">
        <f t="shared" si="6"/>
        <v>3600</v>
      </c>
      <c r="T12" s="7">
        <f t="shared" si="7"/>
        <v>3600</v>
      </c>
      <c r="U12" s="7">
        <f t="shared" si="8"/>
        <v>3600</v>
      </c>
      <c r="W12" s="7">
        <f t="shared" si="9"/>
        <v>14400</v>
      </c>
    </row>
    <row r="13" spans="3:23" x14ac:dyDescent="0.2">
      <c r="C13" s="28" t="s">
        <v>153</v>
      </c>
      <c r="D13" s="38" t="s">
        <v>245</v>
      </c>
      <c r="E13" s="41">
        <v>200</v>
      </c>
      <c r="F13" s="41">
        <v>200</v>
      </c>
      <c r="G13" s="41">
        <v>200</v>
      </c>
      <c r="H13" s="41">
        <v>200</v>
      </c>
      <c r="I13" s="41">
        <v>200</v>
      </c>
      <c r="J13" s="41">
        <v>200</v>
      </c>
      <c r="K13" s="41">
        <v>200</v>
      </c>
      <c r="L13" s="41">
        <v>200</v>
      </c>
      <c r="M13" s="41">
        <v>200</v>
      </c>
      <c r="N13" s="41">
        <v>200</v>
      </c>
      <c r="O13" s="41">
        <v>200</v>
      </c>
      <c r="P13" s="41">
        <v>200</v>
      </c>
      <c r="R13" s="7">
        <f t="shared" si="1"/>
        <v>600</v>
      </c>
      <c r="S13" s="7">
        <f t="shared" ref="S13:S19" si="10">SUM(H13:J13)</f>
        <v>600</v>
      </c>
      <c r="T13" s="7">
        <f t="shared" ref="T13:T19" si="11">SUM(K13:M13)</f>
        <v>600</v>
      </c>
      <c r="U13" s="7">
        <f t="shared" ref="U13:U19" si="12">SUM(N13:P13)</f>
        <v>600</v>
      </c>
      <c r="W13" s="7">
        <f t="shared" ref="W13:W19" si="13">SUM(R13:U13)</f>
        <v>2400</v>
      </c>
    </row>
    <row r="14" spans="3:23" x14ac:dyDescent="0.2">
      <c r="C14" s="28" t="s">
        <v>251</v>
      </c>
      <c r="D14" s="38" t="s">
        <v>245</v>
      </c>
      <c r="E14" s="41">
        <v>0</v>
      </c>
      <c r="F14" s="41">
        <v>0</v>
      </c>
      <c r="G14" s="41">
        <v>0</v>
      </c>
      <c r="H14" s="41">
        <v>300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R14" s="7">
        <f t="shared" si="1"/>
        <v>0</v>
      </c>
      <c r="S14" s="7">
        <f t="shared" si="10"/>
        <v>300</v>
      </c>
      <c r="T14" s="7">
        <f t="shared" si="11"/>
        <v>0</v>
      </c>
      <c r="U14" s="7">
        <f t="shared" si="12"/>
        <v>0</v>
      </c>
      <c r="W14" s="7">
        <f t="shared" si="13"/>
        <v>300</v>
      </c>
    </row>
    <row r="15" spans="3:23" x14ac:dyDescent="0.2">
      <c r="C15" s="28" t="s">
        <v>252</v>
      </c>
      <c r="D15" s="38" t="s">
        <v>245</v>
      </c>
      <c r="E15" s="41">
        <v>0</v>
      </c>
      <c r="F15" s="41">
        <v>0</v>
      </c>
      <c r="G15" s="41">
        <v>0</v>
      </c>
      <c r="H15" s="41">
        <v>2160</v>
      </c>
      <c r="I15" s="41">
        <v>0</v>
      </c>
      <c r="J15" s="41">
        <v>0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R15" s="7">
        <f t="shared" si="1"/>
        <v>0</v>
      </c>
      <c r="S15" s="7">
        <f t="shared" si="10"/>
        <v>2160</v>
      </c>
      <c r="T15" s="7">
        <f t="shared" si="11"/>
        <v>0</v>
      </c>
      <c r="U15" s="7">
        <f t="shared" si="12"/>
        <v>0</v>
      </c>
      <c r="W15" s="7">
        <f t="shared" si="13"/>
        <v>2160</v>
      </c>
    </row>
    <row r="16" spans="3:23" x14ac:dyDescent="0.2">
      <c r="C16" s="28" t="s">
        <v>253</v>
      </c>
      <c r="D16" s="38" t="s">
        <v>245</v>
      </c>
      <c r="E16" s="41">
        <v>0</v>
      </c>
      <c r="F16" s="41">
        <v>0</v>
      </c>
      <c r="G16" s="41">
        <v>0</v>
      </c>
      <c r="H16" s="41">
        <v>0</v>
      </c>
      <c r="I16" s="41">
        <v>3900</v>
      </c>
      <c r="J16" s="41">
        <v>0</v>
      </c>
      <c r="K16" s="41">
        <v>0</v>
      </c>
      <c r="L16" s="41">
        <v>0</v>
      </c>
      <c r="M16" s="41">
        <v>0</v>
      </c>
      <c r="N16" s="41">
        <v>0</v>
      </c>
      <c r="O16" s="41">
        <v>0</v>
      </c>
      <c r="P16" s="41">
        <v>0</v>
      </c>
      <c r="R16" s="7">
        <f t="shared" si="1"/>
        <v>0</v>
      </c>
      <c r="S16" s="7">
        <f t="shared" si="10"/>
        <v>3900</v>
      </c>
      <c r="T16" s="7">
        <f t="shared" si="11"/>
        <v>0</v>
      </c>
      <c r="U16" s="7">
        <f t="shared" si="12"/>
        <v>0</v>
      </c>
      <c r="W16" s="7">
        <f t="shared" si="13"/>
        <v>3900</v>
      </c>
    </row>
    <row r="17" spans="3:23" x14ac:dyDescent="0.2">
      <c r="C17" s="28" t="s">
        <v>254</v>
      </c>
      <c r="D17" s="38" t="s">
        <v>245</v>
      </c>
      <c r="E17" s="41">
        <v>200</v>
      </c>
      <c r="F17" s="41">
        <v>200</v>
      </c>
      <c r="G17" s="41">
        <v>200</v>
      </c>
      <c r="H17" s="41">
        <v>200</v>
      </c>
      <c r="I17" s="41">
        <v>200</v>
      </c>
      <c r="J17" s="41">
        <v>200</v>
      </c>
      <c r="K17" s="41">
        <v>200</v>
      </c>
      <c r="L17" s="41">
        <v>200</v>
      </c>
      <c r="M17" s="41">
        <v>200</v>
      </c>
      <c r="N17" s="41">
        <v>200</v>
      </c>
      <c r="O17" s="41">
        <v>200</v>
      </c>
      <c r="P17" s="41">
        <v>200</v>
      </c>
      <c r="R17" s="7">
        <f t="shared" si="1"/>
        <v>600</v>
      </c>
      <c r="S17" s="7">
        <f t="shared" si="10"/>
        <v>600</v>
      </c>
      <c r="T17" s="7">
        <f t="shared" si="11"/>
        <v>600</v>
      </c>
      <c r="U17" s="7">
        <f t="shared" si="12"/>
        <v>600</v>
      </c>
      <c r="W17" s="7">
        <f t="shared" si="13"/>
        <v>2400</v>
      </c>
    </row>
    <row r="18" spans="3:23" x14ac:dyDescent="0.2">
      <c r="C18" s="28" t="s">
        <v>255</v>
      </c>
      <c r="D18" s="38" t="s">
        <v>245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840</v>
      </c>
      <c r="K18" s="41">
        <v>0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R18" s="7">
        <f t="shared" si="1"/>
        <v>0</v>
      </c>
      <c r="S18" s="7">
        <f t="shared" si="10"/>
        <v>840</v>
      </c>
      <c r="T18" s="7">
        <f t="shared" si="11"/>
        <v>0</v>
      </c>
      <c r="U18" s="7">
        <f t="shared" si="12"/>
        <v>0</v>
      </c>
      <c r="W18" s="7">
        <f t="shared" si="13"/>
        <v>840</v>
      </c>
    </row>
    <row r="19" spans="3:23" x14ac:dyDescent="0.2">
      <c r="C19" s="28" t="s">
        <v>256</v>
      </c>
      <c r="D19" s="38" t="s">
        <v>245</v>
      </c>
      <c r="E19" s="41">
        <v>90</v>
      </c>
      <c r="F19" s="41">
        <v>90</v>
      </c>
      <c r="G19" s="41">
        <v>90</v>
      </c>
      <c r="H19" s="41">
        <v>90</v>
      </c>
      <c r="I19" s="41">
        <v>90</v>
      </c>
      <c r="J19" s="41">
        <v>90</v>
      </c>
      <c r="K19" s="41">
        <v>90</v>
      </c>
      <c r="L19" s="41">
        <v>90</v>
      </c>
      <c r="M19" s="41">
        <v>90</v>
      </c>
      <c r="N19" s="41">
        <v>90</v>
      </c>
      <c r="O19" s="41">
        <v>90</v>
      </c>
      <c r="P19" s="41">
        <v>90</v>
      </c>
      <c r="R19" s="7">
        <f t="shared" si="1"/>
        <v>270</v>
      </c>
      <c r="S19" s="7">
        <f t="shared" si="10"/>
        <v>270</v>
      </c>
      <c r="T19" s="7">
        <f t="shared" si="11"/>
        <v>270</v>
      </c>
      <c r="U19" s="7">
        <f t="shared" si="12"/>
        <v>270</v>
      </c>
      <c r="W19" s="7">
        <f t="shared" si="13"/>
        <v>1080</v>
      </c>
    </row>
    <row r="20" spans="3:23" x14ac:dyDescent="0.2">
      <c r="C20" s="28" t="s">
        <v>257</v>
      </c>
      <c r="D20" s="38" t="s">
        <v>245</v>
      </c>
      <c r="E20" s="41">
        <v>0</v>
      </c>
      <c r="F20" s="41">
        <v>0</v>
      </c>
      <c r="G20" s="41">
        <v>0</v>
      </c>
      <c r="H20" s="41">
        <v>0</v>
      </c>
      <c r="I20" s="41">
        <v>142</v>
      </c>
      <c r="J20" s="41">
        <v>0</v>
      </c>
      <c r="K20" s="41">
        <v>0</v>
      </c>
      <c r="L20" s="41">
        <v>0</v>
      </c>
      <c r="M20" s="41">
        <v>0</v>
      </c>
      <c r="N20" s="41">
        <v>0</v>
      </c>
      <c r="O20" s="41">
        <v>0</v>
      </c>
      <c r="P20" s="41">
        <v>0</v>
      </c>
      <c r="R20" s="7">
        <f t="shared" si="1"/>
        <v>0</v>
      </c>
      <c r="S20" s="7">
        <f t="shared" si="6"/>
        <v>142</v>
      </c>
      <c r="T20" s="7">
        <f t="shared" si="7"/>
        <v>0</v>
      </c>
      <c r="U20" s="7">
        <f t="shared" si="8"/>
        <v>0</v>
      </c>
      <c r="W20" s="7">
        <f t="shared" si="9"/>
        <v>142</v>
      </c>
    </row>
    <row r="21" spans="3:23" x14ac:dyDescent="0.2">
      <c r="C21" s="28" t="s">
        <v>258</v>
      </c>
      <c r="D21" s="38" t="s">
        <v>245</v>
      </c>
      <c r="E21" s="41">
        <v>59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R21" s="7">
        <f t="shared" si="1"/>
        <v>59</v>
      </c>
      <c r="S21" s="7">
        <f t="shared" si="6"/>
        <v>0</v>
      </c>
      <c r="T21" s="7">
        <f t="shared" si="7"/>
        <v>0</v>
      </c>
      <c r="U21" s="7">
        <f t="shared" si="8"/>
        <v>0</v>
      </c>
      <c r="W21" s="7">
        <f t="shared" si="9"/>
        <v>59</v>
      </c>
    </row>
    <row r="22" spans="3:23" x14ac:dyDescent="0.2">
      <c r="C22" s="28" t="s">
        <v>259</v>
      </c>
      <c r="D22" s="38" t="s">
        <v>245</v>
      </c>
      <c r="E22" s="41">
        <v>12</v>
      </c>
      <c r="F22" s="41">
        <v>12</v>
      </c>
      <c r="G22" s="41">
        <v>12</v>
      </c>
      <c r="H22" s="41">
        <v>12</v>
      </c>
      <c r="I22" s="41">
        <v>12</v>
      </c>
      <c r="J22" s="41">
        <v>12</v>
      </c>
      <c r="K22" s="41">
        <v>12</v>
      </c>
      <c r="L22" s="41">
        <v>12</v>
      </c>
      <c r="M22" s="41">
        <v>12</v>
      </c>
      <c r="N22" s="41">
        <v>12</v>
      </c>
      <c r="O22" s="41">
        <v>12</v>
      </c>
      <c r="P22" s="41">
        <v>12</v>
      </c>
      <c r="R22" s="7">
        <f t="shared" si="1"/>
        <v>36</v>
      </c>
      <c r="S22" s="7">
        <f t="shared" si="6"/>
        <v>36</v>
      </c>
      <c r="T22" s="7">
        <f t="shared" si="7"/>
        <v>36</v>
      </c>
      <c r="U22" s="7">
        <f t="shared" si="8"/>
        <v>36</v>
      </c>
      <c r="W22" s="7">
        <f t="shared" si="9"/>
        <v>144</v>
      </c>
    </row>
    <row r="23" spans="3:23" x14ac:dyDescent="0.2">
      <c r="C23" s="28" t="s">
        <v>260</v>
      </c>
      <c r="D23" s="38" t="s">
        <v>245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R23" s="7">
        <f t="shared" si="1"/>
        <v>0</v>
      </c>
      <c r="S23" s="7">
        <f t="shared" si="6"/>
        <v>0</v>
      </c>
      <c r="T23" s="7">
        <f t="shared" si="7"/>
        <v>0</v>
      </c>
      <c r="U23" s="7">
        <f t="shared" si="8"/>
        <v>0</v>
      </c>
      <c r="W23" s="7">
        <f t="shared" si="9"/>
        <v>0</v>
      </c>
    </row>
    <row r="24" spans="3:23" x14ac:dyDescent="0.2">
      <c r="C24" s="28" t="s">
        <v>261</v>
      </c>
      <c r="D24" s="38" t="s">
        <v>245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0</v>
      </c>
      <c r="M24" s="41">
        <v>3000</v>
      </c>
      <c r="N24" s="41">
        <v>0</v>
      </c>
      <c r="O24" s="41">
        <v>0</v>
      </c>
      <c r="P24" s="41">
        <v>0</v>
      </c>
      <c r="R24" s="7">
        <f t="shared" si="1"/>
        <v>0</v>
      </c>
      <c r="S24" s="7">
        <f t="shared" si="6"/>
        <v>0</v>
      </c>
      <c r="T24" s="7">
        <f t="shared" si="7"/>
        <v>3000</v>
      </c>
      <c r="U24" s="7">
        <f t="shared" si="8"/>
        <v>0</v>
      </c>
      <c r="W24" s="7">
        <f t="shared" si="9"/>
        <v>3000</v>
      </c>
    </row>
    <row r="25" spans="3:23" x14ac:dyDescent="0.2">
      <c r="C25" s="28" t="s">
        <v>262</v>
      </c>
      <c r="D25" s="38" t="s">
        <v>245</v>
      </c>
      <c r="E25" s="41">
        <v>190</v>
      </c>
      <c r="F25" s="41">
        <v>190</v>
      </c>
      <c r="G25" s="41">
        <v>190</v>
      </c>
      <c r="H25" s="41">
        <v>190</v>
      </c>
      <c r="I25" s="41">
        <v>190</v>
      </c>
      <c r="J25" s="41">
        <v>190</v>
      </c>
      <c r="K25" s="41">
        <v>190</v>
      </c>
      <c r="L25" s="41">
        <v>190</v>
      </c>
      <c r="M25" s="41">
        <v>190</v>
      </c>
      <c r="N25" s="41">
        <v>190</v>
      </c>
      <c r="O25" s="41">
        <v>190</v>
      </c>
      <c r="P25" s="41">
        <v>190</v>
      </c>
      <c r="R25" s="7">
        <f t="shared" si="1"/>
        <v>570</v>
      </c>
      <c r="S25" s="7">
        <f t="shared" si="6"/>
        <v>570</v>
      </c>
      <c r="T25" s="7">
        <f t="shared" si="7"/>
        <v>570</v>
      </c>
      <c r="U25" s="7">
        <f t="shared" si="8"/>
        <v>570</v>
      </c>
      <c r="W25" s="7">
        <f t="shared" si="9"/>
        <v>2280</v>
      </c>
    </row>
    <row r="26" spans="3:23" x14ac:dyDescent="0.2">
      <c r="C26" s="28" t="s">
        <v>263</v>
      </c>
      <c r="D26" s="38" t="s">
        <v>245</v>
      </c>
      <c r="E26" s="41">
        <v>90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0</v>
      </c>
      <c r="M26" s="41">
        <v>0</v>
      </c>
      <c r="N26" s="41">
        <v>0</v>
      </c>
      <c r="O26" s="41">
        <v>0</v>
      </c>
      <c r="P26" s="41">
        <v>0</v>
      </c>
      <c r="R26" s="7">
        <f t="shared" ref="R26" si="14">SUM(E26:G26)</f>
        <v>90</v>
      </c>
      <c r="S26" s="7">
        <f t="shared" ref="S26" si="15">SUM(H26:J26)</f>
        <v>0</v>
      </c>
      <c r="T26" s="7">
        <f t="shared" ref="T26" si="16">SUM(K26:M26)</f>
        <v>0</v>
      </c>
      <c r="U26" s="7">
        <f t="shared" ref="U26" si="17">SUM(N26:P26)</f>
        <v>0</v>
      </c>
      <c r="W26" s="7">
        <f t="shared" ref="W26" si="18">SUM(R26:U26)</f>
        <v>90</v>
      </c>
    </row>
    <row r="27" spans="3:23" x14ac:dyDescent="0.2">
      <c r="C27" s="28" t="s">
        <v>264</v>
      </c>
      <c r="D27" s="38" t="s">
        <v>245</v>
      </c>
      <c r="E27" s="41">
        <v>59</v>
      </c>
      <c r="F27" s="41">
        <v>59</v>
      </c>
      <c r="G27" s="41">
        <v>59</v>
      </c>
      <c r="H27" s="41">
        <v>59</v>
      </c>
      <c r="I27" s="41">
        <v>59</v>
      </c>
      <c r="J27" s="41">
        <v>59</v>
      </c>
      <c r="K27" s="41">
        <v>59</v>
      </c>
      <c r="L27" s="41">
        <v>59</v>
      </c>
      <c r="M27" s="41">
        <v>59</v>
      </c>
      <c r="N27" s="41">
        <v>59</v>
      </c>
      <c r="O27" s="41">
        <v>59</v>
      </c>
      <c r="P27" s="41">
        <v>59</v>
      </c>
      <c r="R27" s="7">
        <f t="shared" ref="R27" si="19">SUM(E27:G27)</f>
        <v>177</v>
      </c>
      <c r="S27" s="7">
        <f t="shared" ref="S27" si="20">SUM(H27:J27)</f>
        <v>177</v>
      </c>
      <c r="T27" s="7">
        <f t="shared" ref="T27" si="21">SUM(K27:M27)</f>
        <v>177</v>
      </c>
      <c r="U27" s="7">
        <f t="shared" ref="U27" si="22">SUM(N27:P27)</f>
        <v>177</v>
      </c>
      <c r="W27" s="7">
        <f t="shared" ref="W27" si="23">SUM(R27:U27)</f>
        <v>708</v>
      </c>
    </row>
    <row r="28" spans="3:23" x14ac:dyDescent="0.2">
      <c r="C28" s="28" t="s">
        <v>265</v>
      </c>
      <c r="D28" s="38" t="s">
        <v>266</v>
      </c>
      <c r="E28" s="41">
        <v>25</v>
      </c>
      <c r="F28" s="41">
        <v>25</v>
      </c>
      <c r="G28" s="41">
        <v>25</v>
      </c>
      <c r="H28" s="41">
        <v>25</v>
      </c>
      <c r="I28" s="41">
        <v>25</v>
      </c>
      <c r="J28" s="41">
        <v>25</v>
      </c>
      <c r="K28" s="41">
        <v>25</v>
      </c>
      <c r="L28" s="41">
        <v>25</v>
      </c>
      <c r="M28" s="41">
        <v>25</v>
      </c>
      <c r="N28" s="41">
        <v>25</v>
      </c>
      <c r="O28" s="41">
        <v>25</v>
      </c>
      <c r="P28" s="41">
        <v>25</v>
      </c>
      <c r="R28" s="7">
        <f t="shared" si="1"/>
        <v>75</v>
      </c>
      <c r="S28" s="7">
        <f t="shared" si="6"/>
        <v>75</v>
      </c>
      <c r="T28" s="7">
        <f t="shared" si="7"/>
        <v>75</v>
      </c>
      <c r="U28" s="7">
        <f t="shared" si="8"/>
        <v>75</v>
      </c>
      <c r="W28" s="7">
        <f t="shared" si="9"/>
        <v>300</v>
      </c>
    </row>
    <row r="29" spans="3:23" x14ac:dyDescent="0.2">
      <c r="C29" s="28" t="s">
        <v>267</v>
      </c>
      <c r="D29" s="38" t="s">
        <v>266</v>
      </c>
      <c r="E29" s="41">
        <v>25</v>
      </c>
      <c r="F29" s="41">
        <v>25</v>
      </c>
      <c r="G29" s="41">
        <v>25</v>
      </c>
      <c r="H29" s="41">
        <v>25</v>
      </c>
      <c r="I29" s="41">
        <v>25</v>
      </c>
      <c r="J29" s="41">
        <v>25</v>
      </c>
      <c r="K29" s="41">
        <v>25</v>
      </c>
      <c r="L29" s="41">
        <v>25</v>
      </c>
      <c r="M29" s="41">
        <v>25</v>
      </c>
      <c r="N29" s="41">
        <v>25</v>
      </c>
      <c r="O29" s="41">
        <v>25</v>
      </c>
      <c r="P29" s="41">
        <v>25</v>
      </c>
      <c r="R29" s="7">
        <f t="shared" si="1"/>
        <v>75</v>
      </c>
      <c r="S29" s="7">
        <f t="shared" si="6"/>
        <v>75</v>
      </c>
      <c r="T29" s="7">
        <f t="shared" si="7"/>
        <v>75</v>
      </c>
      <c r="U29" s="7">
        <f t="shared" si="8"/>
        <v>75</v>
      </c>
      <c r="W29" s="7">
        <f t="shared" si="9"/>
        <v>300</v>
      </c>
    </row>
    <row r="30" spans="3:23" x14ac:dyDescent="0.2">
      <c r="C30" s="28" t="s">
        <v>268</v>
      </c>
      <c r="D30" s="38" t="s">
        <v>269</v>
      </c>
      <c r="E30" s="41">
        <v>25</v>
      </c>
      <c r="F30" s="41">
        <v>25</v>
      </c>
      <c r="G30" s="41">
        <v>25</v>
      </c>
      <c r="H30" s="41">
        <v>25</v>
      </c>
      <c r="I30" s="41">
        <v>25</v>
      </c>
      <c r="J30" s="41">
        <v>25</v>
      </c>
      <c r="K30" s="41">
        <v>25</v>
      </c>
      <c r="L30" s="41">
        <v>25</v>
      </c>
      <c r="M30" s="41">
        <v>25</v>
      </c>
      <c r="N30" s="41">
        <v>25</v>
      </c>
      <c r="O30" s="41">
        <v>25</v>
      </c>
      <c r="P30" s="41">
        <v>25</v>
      </c>
      <c r="R30" s="7">
        <f t="shared" si="1"/>
        <v>75</v>
      </c>
      <c r="S30" s="7">
        <f t="shared" si="2"/>
        <v>75</v>
      </c>
      <c r="T30" s="7">
        <f t="shared" si="3"/>
        <v>75</v>
      </c>
      <c r="U30" s="7">
        <f t="shared" si="4"/>
        <v>75</v>
      </c>
      <c r="W30" s="7">
        <f t="shared" si="5"/>
        <v>300</v>
      </c>
    </row>
    <row r="31" spans="3:23" x14ac:dyDescent="0.2">
      <c r="C31" s="17" t="s">
        <v>270</v>
      </c>
      <c r="D31" s="12"/>
      <c r="E31" s="18">
        <f t="shared" ref="E31:P31" si="24">SUM(E7:E30)</f>
        <v>4401</v>
      </c>
      <c r="F31" s="18">
        <f t="shared" si="24"/>
        <v>5149.1099999999997</v>
      </c>
      <c r="G31" s="18">
        <f t="shared" si="24"/>
        <v>3376</v>
      </c>
      <c r="H31" s="18">
        <f t="shared" si="24"/>
        <v>5836</v>
      </c>
      <c r="I31" s="18">
        <f t="shared" si="24"/>
        <v>7418</v>
      </c>
      <c r="J31" s="18">
        <f t="shared" si="24"/>
        <v>4216</v>
      </c>
      <c r="K31" s="18">
        <f t="shared" si="24"/>
        <v>3376</v>
      </c>
      <c r="L31" s="18">
        <f t="shared" si="24"/>
        <v>3376</v>
      </c>
      <c r="M31" s="18">
        <f t="shared" si="24"/>
        <v>6376</v>
      </c>
      <c r="N31" s="18">
        <f t="shared" si="24"/>
        <v>3376</v>
      </c>
      <c r="O31" s="18">
        <f t="shared" si="24"/>
        <v>3376</v>
      </c>
      <c r="P31" s="18">
        <f t="shared" si="24"/>
        <v>3376</v>
      </c>
      <c r="R31" s="18">
        <f>SUM(R7:R30)</f>
        <v>12926.11</v>
      </c>
      <c r="S31" s="18">
        <f>SUM(S7:S30)</f>
        <v>17470</v>
      </c>
      <c r="T31" s="18">
        <f>SUM(T7:T30)</f>
        <v>13128</v>
      </c>
      <c r="U31" s="18">
        <f>SUM(U7:U30)</f>
        <v>10128</v>
      </c>
      <c r="W31" s="18">
        <f>SUM(W7:W30)</f>
        <v>53652.11</v>
      </c>
    </row>
    <row r="36" spans="14:14" x14ac:dyDescent="0.2">
      <c r="N36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E923-2F3C-45D2-9AAA-E8272776492C}">
  <sheetPr>
    <tabColor theme="1" tint="0.499984740745262"/>
  </sheetPr>
  <dimension ref="C2:W12"/>
  <sheetViews>
    <sheetView showGridLines="0" zoomScaleNormal="100" workbookViewId="0">
      <selection activeCell="A6" sqref="A6"/>
    </sheetView>
  </sheetViews>
  <sheetFormatPr baseColWidth="10" defaultColWidth="8.83203125" defaultRowHeight="14" x14ac:dyDescent="0.2"/>
  <cols>
    <col min="1" max="2" width="3.6640625" style="1" customWidth="1"/>
    <col min="3" max="3" width="36" style="1" customWidth="1"/>
    <col min="4" max="4" width="29.6640625" style="28" bestFit="1" customWidth="1"/>
    <col min="5" max="16" width="10.6640625" style="1" customWidth="1"/>
    <col min="17" max="17" width="3.6640625" style="1" customWidth="1"/>
    <col min="18" max="21" width="10.6640625" style="1" customWidth="1"/>
    <col min="22" max="22" width="3.6640625" style="1" customWidth="1"/>
    <col min="23" max="23" width="10.6640625" style="1" customWidth="1"/>
    <col min="24" max="25" width="3.6640625" style="1" customWidth="1"/>
    <col min="26" max="16384" width="8.83203125" style="1"/>
  </cols>
  <sheetData>
    <row r="2" spans="3:23" x14ac:dyDescent="0.2">
      <c r="C2" s="27" t="s">
        <v>0</v>
      </c>
      <c r="D2" s="3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3:23" x14ac:dyDescent="0.2">
      <c r="C3" s="14" t="s">
        <v>36</v>
      </c>
      <c r="D3" s="36"/>
    </row>
    <row r="4" spans="3:23" ht="6" customHeight="1" x14ac:dyDescent="0.2"/>
    <row r="5" spans="3:23" ht="14" customHeight="1" thickBot="1" x14ac:dyDescent="0.25">
      <c r="C5" s="6" t="s">
        <v>151</v>
      </c>
      <c r="D5" s="37" t="s">
        <v>152</v>
      </c>
      <c r="E5" s="11">
        <v>46023</v>
      </c>
      <c r="F5" s="11">
        <f>EOMONTH(E5,0)+1</f>
        <v>46054</v>
      </c>
      <c r="G5" s="11">
        <f t="shared" ref="G5:P5" si="0">EOMONTH(F5,0)+1</f>
        <v>46082</v>
      </c>
      <c r="H5" s="11">
        <f t="shared" si="0"/>
        <v>46113</v>
      </c>
      <c r="I5" s="11">
        <f t="shared" si="0"/>
        <v>46143</v>
      </c>
      <c r="J5" s="11">
        <f t="shared" si="0"/>
        <v>46174</v>
      </c>
      <c r="K5" s="11">
        <f t="shared" si="0"/>
        <v>46204</v>
      </c>
      <c r="L5" s="11">
        <f t="shared" si="0"/>
        <v>46235</v>
      </c>
      <c r="M5" s="11">
        <f t="shared" si="0"/>
        <v>46266</v>
      </c>
      <c r="N5" s="11">
        <f t="shared" si="0"/>
        <v>46296</v>
      </c>
      <c r="O5" s="11">
        <f t="shared" si="0"/>
        <v>46327</v>
      </c>
      <c r="P5" s="11">
        <f t="shared" si="0"/>
        <v>46357</v>
      </c>
      <c r="R5" s="20" t="s">
        <v>3</v>
      </c>
      <c r="S5" s="20" t="s">
        <v>4</v>
      </c>
      <c r="T5" s="20" t="s">
        <v>5</v>
      </c>
      <c r="U5" s="20" t="s">
        <v>6</v>
      </c>
      <c r="W5" s="20" t="s">
        <v>7</v>
      </c>
    </row>
    <row r="6" spans="3:23" ht="6" customHeight="1" x14ac:dyDescent="0.2"/>
    <row r="7" spans="3:23" x14ac:dyDescent="0.2">
      <c r="C7" s="28" t="s">
        <v>271</v>
      </c>
      <c r="D7" s="38" t="s">
        <v>271</v>
      </c>
      <c r="E7" s="41">
        <v>0</v>
      </c>
      <c r="F7" s="41">
        <v>3000</v>
      </c>
      <c r="G7" s="41">
        <v>3000</v>
      </c>
      <c r="H7" s="41">
        <v>3000</v>
      </c>
      <c r="I7" s="41">
        <v>3000</v>
      </c>
      <c r="J7" s="41">
        <v>3000</v>
      </c>
      <c r="K7" s="41">
        <v>3000</v>
      </c>
      <c r="L7" s="41">
        <v>3000</v>
      </c>
      <c r="M7" s="41">
        <v>3000</v>
      </c>
      <c r="N7" s="41">
        <v>3000</v>
      </c>
      <c r="O7" s="41">
        <v>3000</v>
      </c>
      <c r="P7" s="41">
        <v>3000</v>
      </c>
      <c r="R7" s="7">
        <f t="shared" ref="R7" si="1">SUM(E7:G7)</f>
        <v>6000</v>
      </c>
      <c r="S7" s="7">
        <f t="shared" ref="S7" si="2">SUM(H7:J7)</f>
        <v>9000</v>
      </c>
      <c r="T7" s="7">
        <f t="shared" ref="T7" si="3">SUM(K7:M7)</f>
        <v>9000</v>
      </c>
      <c r="U7" s="7">
        <f t="shared" ref="U7" si="4">SUM(N7:P7)</f>
        <v>9000</v>
      </c>
      <c r="W7" s="7">
        <f t="shared" ref="W7" si="5">SUM(R7:U7)</f>
        <v>33000</v>
      </c>
    </row>
    <row r="8" spans="3:23" x14ac:dyDescent="0.2">
      <c r="C8" s="28" t="s">
        <v>272</v>
      </c>
      <c r="D8" s="38" t="s">
        <v>273</v>
      </c>
      <c r="E8" s="41">
        <v>29</v>
      </c>
      <c r="F8" s="41">
        <v>29</v>
      </c>
      <c r="G8" s="41">
        <v>29</v>
      </c>
      <c r="H8" s="41">
        <v>29</v>
      </c>
      <c r="I8" s="41">
        <v>29</v>
      </c>
      <c r="J8" s="41">
        <v>29</v>
      </c>
      <c r="K8" s="41">
        <v>29</v>
      </c>
      <c r="L8" s="41">
        <v>29</v>
      </c>
      <c r="M8" s="41">
        <v>29</v>
      </c>
      <c r="N8" s="41">
        <v>29</v>
      </c>
      <c r="O8" s="41">
        <v>29</v>
      </c>
      <c r="P8" s="41">
        <v>29</v>
      </c>
      <c r="R8" s="7">
        <f t="shared" ref="R8:R11" si="6">SUM(E8:G8)</f>
        <v>87</v>
      </c>
      <c r="S8" s="7">
        <f t="shared" ref="S8:S11" si="7">SUM(H8:J8)</f>
        <v>87</v>
      </c>
      <c r="T8" s="7">
        <f t="shared" ref="T8:T11" si="8">SUM(K8:M8)</f>
        <v>87</v>
      </c>
      <c r="U8" s="7">
        <f t="shared" ref="U8:U11" si="9">SUM(N8:P8)</f>
        <v>87</v>
      </c>
      <c r="W8" s="7">
        <f t="shared" ref="W8:W11" si="10">SUM(R8:U8)</f>
        <v>348</v>
      </c>
    </row>
    <row r="9" spans="3:23" x14ac:dyDescent="0.2">
      <c r="C9" s="28" t="s">
        <v>274</v>
      </c>
      <c r="D9" s="38" t="s">
        <v>273</v>
      </c>
      <c r="E9" s="41">
        <v>50</v>
      </c>
      <c r="F9" s="41">
        <v>50</v>
      </c>
      <c r="G9" s="41">
        <v>50</v>
      </c>
      <c r="H9" s="41">
        <v>50</v>
      </c>
      <c r="I9" s="41">
        <v>50</v>
      </c>
      <c r="J9" s="41">
        <v>50</v>
      </c>
      <c r="K9" s="41">
        <v>50</v>
      </c>
      <c r="L9" s="41">
        <v>50</v>
      </c>
      <c r="M9" s="41">
        <v>50</v>
      </c>
      <c r="N9" s="41">
        <v>50</v>
      </c>
      <c r="O9" s="41">
        <v>50</v>
      </c>
      <c r="P9" s="41">
        <v>50</v>
      </c>
      <c r="R9" s="7">
        <f t="shared" si="6"/>
        <v>150</v>
      </c>
      <c r="S9" s="7">
        <f t="shared" si="7"/>
        <v>150</v>
      </c>
      <c r="T9" s="7">
        <f t="shared" si="8"/>
        <v>150</v>
      </c>
      <c r="U9" s="7">
        <f t="shared" si="9"/>
        <v>150</v>
      </c>
      <c r="W9" s="7">
        <f t="shared" si="10"/>
        <v>600</v>
      </c>
    </row>
    <row r="10" spans="3:23" x14ac:dyDescent="0.2">
      <c r="C10" s="28" t="s">
        <v>275</v>
      </c>
      <c r="D10" s="38" t="s">
        <v>273</v>
      </c>
      <c r="E10" s="41">
        <v>200</v>
      </c>
      <c r="F10" s="41">
        <v>200</v>
      </c>
      <c r="G10" s="41">
        <v>200</v>
      </c>
      <c r="H10" s="41">
        <v>200</v>
      </c>
      <c r="I10" s="41">
        <v>200</v>
      </c>
      <c r="J10" s="41">
        <v>200</v>
      </c>
      <c r="K10" s="41">
        <v>200</v>
      </c>
      <c r="L10" s="41">
        <v>200</v>
      </c>
      <c r="M10" s="41">
        <v>200</v>
      </c>
      <c r="N10" s="41">
        <v>200</v>
      </c>
      <c r="O10" s="41">
        <v>200</v>
      </c>
      <c r="P10" s="41">
        <v>200</v>
      </c>
      <c r="R10" s="7">
        <f t="shared" si="6"/>
        <v>600</v>
      </c>
      <c r="S10" s="7">
        <f t="shared" si="7"/>
        <v>600</v>
      </c>
      <c r="T10" s="7">
        <f t="shared" si="8"/>
        <v>600</v>
      </c>
      <c r="U10" s="7">
        <f t="shared" si="9"/>
        <v>600</v>
      </c>
      <c r="W10" s="7">
        <f t="shared" si="10"/>
        <v>2400</v>
      </c>
    </row>
    <row r="11" spans="3:23" x14ac:dyDescent="0.2">
      <c r="C11" s="28" t="s">
        <v>276</v>
      </c>
      <c r="D11" s="38" t="s">
        <v>277</v>
      </c>
      <c r="E11" s="41">
        <v>1000</v>
      </c>
      <c r="F11" s="41">
        <v>1000</v>
      </c>
      <c r="G11" s="41">
        <v>1000</v>
      </c>
      <c r="H11" s="41">
        <v>1000</v>
      </c>
      <c r="I11" s="41">
        <v>1000</v>
      </c>
      <c r="J11" s="41">
        <v>1000</v>
      </c>
      <c r="K11" s="41">
        <v>1000</v>
      </c>
      <c r="L11" s="41">
        <v>1000</v>
      </c>
      <c r="M11" s="41">
        <v>1000</v>
      </c>
      <c r="N11" s="41">
        <v>1000</v>
      </c>
      <c r="O11" s="41">
        <v>1000</v>
      </c>
      <c r="P11" s="41">
        <v>1000</v>
      </c>
      <c r="R11" s="7">
        <f t="shared" si="6"/>
        <v>3000</v>
      </c>
      <c r="S11" s="7">
        <f t="shared" si="7"/>
        <v>3000</v>
      </c>
      <c r="T11" s="7">
        <f t="shared" si="8"/>
        <v>3000</v>
      </c>
      <c r="U11" s="7">
        <f t="shared" si="9"/>
        <v>3000</v>
      </c>
      <c r="W11" s="7">
        <f t="shared" si="10"/>
        <v>12000</v>
      </c>
    </row>
    <row r="12" spans="3:23" x14ac:dyDescent="0.2">
      <c r="C12" s="17" t="s">
        <v>278</v>
      </c>
      <c r="D12" s="12"/>
      <c r="E12" s="18">
        <f t="shared" ref="E12:P12" si="11">SUM(E7:E11)</f>
        <v>1279</v>
      </c>
      <c r="F12" s="18">
        <f t="shared" si="11"/>
        <v>4279</v>
      </c>
      <c r="G12" s="18">
        <f t="shared" si="11"/>
        <v>4279</v>
      </c>
      <c r="H12" s="18">
        <f t="shared" si="11"/>
        <v>4279</v>
      </c>
      <c r="I12" s="18">
        <f t="shared" si="11"/>
        <v>4279</v>
      </c>
      <c r="J12" s="18">
        <f t="shared" si="11"/>
        <v>4279</v>
      </c>
      <c r="K12" s="18">
        <f t="shared" si="11"/>
        <v>4279</v>
      </c>
      <c r="L12" s="18">
        <f t="shared" si="11"/>
        <v>4279</v>
      </c>
      <c r="M12" s="18">
        <f t="shared" si="11"/>
        <v>4279</v>
      </c>
      <c r="N12" s="18">
        <f t="shared" si="11"/>
        <v>4279</v>
      </c>
      <c r="O12" s="18">
        <f t="shared" si="11"/>
        <v>4279</v>
      </c>
      <c r="P12" s="18">
        <f t="shared" si="11"/>
        <v>4279</v>
      </c>
      <c r="R12" s="18">
        <f>SUM(R7:R11)</f>
        <v>9837</v>
      </c>
      <c r="S12" s="18">
        <f>SUM(S7:S11)</f>
        <v>12837</v>
      </c>
      <c r="T12" s="18">
        <f>SUM(T7:T11)</f>
        <v>12837</v>
      </c>
      <c r="U12" s="18">
        <f>SUM(U7:U11)</f>
        <v>12837</v>
      </c>
      <c r="W12" s="18">
        <f>SUM(W7:W11)</f>
        <v>48348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0C6B-B737-4AC3-8CD3-17E89649F44C}">
  <sheetPr>
    <tabColor theme="1" tint="0.499984740745262"/>
  </sheetPr>
  <dimension ref="C2:V14"/>
  <sheetViews>
    <sheetView showGridLines="0" topLeftCell="C1" workbookViewId="0">
      <selection activeCell="X19" sqref="X19"/>
    </sheetView>
  </sheetViews>
  <sheetFormatPr baseColWidth="10" defaultColWidth="8.83203125" defaultRowHeight="14" x14ac:dyDescent="0.2"/>
  <cols>
    <col min="1" max="2" width="3.6640625" style="1" customWidth="1"/>
    <col min="3" max="3" width="36" style="1" customWidth="1"/>
    <col min="4" max="15" width="10.6640625" style="1" customWidth="1"/>
    <col min="16" max="16" width="3.6640625" style="1" customWidth="1"/>
    <col min="17" max="20" width="10.6640625" style="1" customWidth="1"/>
    <col min="21" max="21" width="3.6640625" style="1" customWidth="1"/>
    <col min="22" max="22" width="10.6640625" style="1" customWidth="1"/>
    <col min="23" max="24" width="3.6640625" style="1" customWidth="1"/>
    <col min="25" max="16384" width="8.83203125" style="1"/>
  </cols>
  <sheetData>
    <row r="2" spans="3:22" x14ac:dyDescent="0.2">
      <c r="C2" s="27" t="s">
        <v>0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spans="3:22" x14ac:dyDescent="0.2">
      <c r="C3" s="14" t="s">
        <v>37</v>
      </c>
    </row>
    <row r="4" spans="3:22" ht="6" customHeight="1" x14ac:dyDescent="0.2"/>
    <row r="5" spans="3:22" ht="14" customHeight="1" thickBot="1" x14ac:dyDescent="0.25">
      <c r="C5" s="6" t="s">
        <v>151</v>
      </c>
      <c r="D5" s="11">
        <v>46023</v>
      </c>
      <c r="E5" s="11">
        <f>EOMONTH(D5,0)+1</f>
        <v>46054</v>
      </c>
      <c r="F5" s="11">
        <f t="shared" ref="F5:O5" si="0">EOMONTH(E5,0)+1</f>
        <v>46082</v>
      </c>
      <c r="G5" s="11">
        <f t="shared" si="0"/>
        <v>46113</v>
      </c>
      <c r="H5" s="11">
        <f t="shared" si="0"/>
        <v>46143</v>
      </c>
      <c r="I5" s="11">
        <f t="shared" si="0"/>
        <v>46174</v>
      </c>
      <c r="J5" s="11">
        <f t="shared" si="0"/>
        <v>46204</v>
      </c>
      <c r="K5" s="11">
        <f t="shared" si="0"/>
        <v>46235</v>
      </c>
      <c r="L5" s="11">
        <f t="shared" si="0"/>
        <v>46266</v>
      </c>
      <c r="M5" s="11">
        <f t="shared" si="0"/>
        <v>46296</v>
      </c>
      <c r="N5" s="11">
        <f t="shared" si="0"/>
        <v>46327</v>
      </c>
      <c r="O5" s="11">
        <f t="shared" si="0"/>
        <v>46357</v>
      </c>
      <c r="Q5" s="20" t="s">
        <v>3</v>
      </c>
      <c r="R5" s="20" t="s">
        <v>4</v>
      </c>
      <c r="S5" s="20" t="s">
        <v>5</v>
      </c>
      <c r="T5" s="20" t="s">
        <v>6</v>
      </c>
      <c r="V5" s="20" t="s">
        <v>7</v>
      </c>
    </row>
    <row r="6" spans="3:22" ht="6" customHeight="1" x14ac:dyDescent="0.2"/>
    <row r="7" spans="3:22" x14ac:dyDescent="0.2">
      <c r="C7" s="28" t="s">
        <v>279</v>
      </c>
      <c r="D7" s="41">
        <v>5000</v>
      </c>
      <c r="E7" s="41">
        <v>5000</v>
      </c>
      <c r="F7" s="41">
        <v>5000</v>
      </c>
      <c r="G7" s="41">
        <v>5000</v>
      </c>
      <c r="H7" s="41">
        <v>5000</v>
      </c>
      <c r="I7" s="41">
        <v>5000</v>
      </c>
      <c r="J7" s="41">
        <v>5000</v>
      </c>
      <c r="K7" s="41">
        <v>5000</v>
      </c>
      <c r="L7" s="41">
        <v>5000</v>
      </c>
      <c r="M7" s="41">
        <v>5000</v>
      </c>
      <c r="N7" s="41">
        <v>5000</v>
      </c>
      <c r="O7" s="41">
        <v>5000</v>
      </c>
      <c r="Q7" s="7">
        <f t="shared" ref="Q7:Q13" si="1">SUM(D7:F7)</f>
        <v>15000</v>
      </c>
      <c r="R7" s="7">
        <f t="shared" ref="R7:R13" si="2">SUM(G7:I7)</f>
        <v>15000</v>
      </c>
      <c r="S7" s="7">
        <f t="shared" ref="S7:S13" si="3">SUM(J7:L7)</f>
        <v>15000</v>
      </c>
      <c r="T7" s="7">
        <f t="shared" ref="T7:T13" si="4">SUM(M7:O7)</f>
        <v>15000</v>
      </c>
      <c r="V7" s="7">
        <f t="shared" ref="V7:V13" si="5">SUM(Q7:T7)</f>
        <v>60000</v>
      </c>
    </row>
    <row r="8" spans="3:22" x14ac:dyDescent="0.2">
      <c r="C8" s="28" t="s">
        <v>280</v>
      </c>
      <c r="D8" s="41">
        <v>2000</v>
      </c>
      <c r="E8" s="41">
        <v>2000</v>
      </c>
      <c r="F8" s="41">
        <v>2000</v>
      </c>
      <c r="G8" s="41">
        <v>2000</v>
      </c>
      <c r="H8" s="41">
        <v>2000</v>
      </c>
      <c r="I8" s="41">
        <v>2000</v>
      </c>
      <c r="J8" s="41">
        <v>2000</v>
      </c>
      <c r="K8" s="41">
        <v>2000</v>
      </c>
      <c r="L8" s="41">
        <v>2000</v>
      </c>
      <c r="M8" s="41">
        <v>2000</v>
      </c>
      <c r="N8" s="41">
        <v>2000</v>
      </c>
      <c r="O8" s="41">
        <v>2000</v>
      </c>
      <c r="Q8" s="7">
        <f t="shared" si="1"/>
        <v>6000</v>
      </c>
      <c r="R8" s="7">
        <f t="shared" si="2"/>
        <v>6000</v>
      </c>
      <c r="S8" s="7">
        <f t="shared" si="3"/>
        <v>6000</v>
      </c>
      <c r="T8" s="7">
        <f t="shared" si="4"/>
        <v>6000</v>
      </c>
      <c r="V8" s="7">
        <f t="shared" si="5"/>
        <v>24000</v>
      </c>
    </row>
    <row r="9" spans="3:22" x14ac:dyDescent="0.2">
      <c r="C9" s="28" t="s">
        <v>281</v>
      </c>
      <c r="D9" s="41">
        <v>4000</v>
      </c>
      <c r="E9" s="41">
        <v>4000</v>
      </c>
      <c r="F9" s="41">
        <v>4000</v>
      </c>
      <c r="G9" s="41">
        <v>4000</v>
      </c>
      <c r="H9" s="41">
        <v>4000</v>
      </c>
      <c r="I9" s="41">
        <v>4000</v>
      </c>
      <c r="J9" s="41">
        <v>4000</v>
      </c>
      <c r="K9" s="41">
        <v>4000</v>
      </c>
      <c r="L9" s="41">
        <v>4000</v>
      </c>
      <c r="M9" s="41">
        <v>4000</v>
      </c>
      <c r="N9" s="41">
        <v>4000</v>
      </c>
      <c r="O9" s="41">
        <v>4000</v>
      </c>
      <c r="Q9" s="7">
        <f t="shared" si="1"/>
        <v>12000</v>
      </c>
      <c r="R9" s="7">
        <f t="shared" si="2"/>
        <v>12000</v>
      </c>
      <c r="S9" s="7">
        <f t="shared" si="3"/>
        <v>12000</v>
      </c>
      <c r="T9" s="7">
        <f t="shared" si="4"/>
        <v>12000</v>
      </c>
      <c r="V9" s="7">
        <f t="shared" si="5"/>
        <v>48000</v>
      </c>
    </row>
    <row r="10" spans="3:22" x14ac:dyDescent="0.2">
      <c r="C10" s="28" t="s">
        <v>282</v>
      </c>
      <c r="D10" s="41">
        <v>200</v>
      </c>
      <c r="E10" s="41">
        <v>200</v>
      </c>
      <c r="F10" s="41">
        <v>200</v>
      </c>
      <c r="G10" s="41">
        <v>200</v>
      </c>
      <c r="H10" s="41">
        <v>200</v>
      </c>
      <c r="I10" s="41">
        <v>200</v>
      </c>
      <c r="J10" s="41">
        <v>200</v>
      </c>
      <c r="K10" s="41">
        <v>200</v>
      </c>
      <c r="L10" s="41">
        <v>200</v>
      </c>
      <c r="M10" s="41">
        <v>200</v>
      </c>
      <c r="N10" s="41">
        <v>200</v>
      </c>
      <c r="O10" s="41">
        <v>200</v>
      </c>
      <c r="Q10" s="7">
        <f t="shared" si="1"/>
        <v>600</v>
      </c>
      <c r="R10" s="7">
        <f t="shared" si="2"/>
        <v>600</v>
      </c>
      <c r="S10" s="7">
        <f t="shared" si="3"/>
        <v>600</v>
      </c>
      <c r="T10" s="7">
        <f t="shared" si="4"/>
        <v>600</v>
      </c>
      <c r="V10" s="7">
        <f t="shared" si="5"/>
        <v>2400</v>
      </c>
    </row>
    <row r="11" spans="3:22" x14ac:dyDescent="0.2">
      <c r="C11" s="28" t="s">
        <v>283</v>
      </c>
      <c r="D11" s="41">
        <v>500</v>
      </c>
      <c r="E11" s="41">
        <v>500</v>
      </c>
      <c r="F11" s="41">
        <v>500</v>
      </c>
      <c r="G11" s="41">
        <v>500</v>
      </c>
      <c r="H11" s="41">
        <v>500</v>
      </c>
      <c r="I11" s="41">
        <v>500</v>
      </c>
      <c r="J11" s="41">
        <v>500</v>
      </c>
      <c r="K11" s="41">
        <v>500</v>
      </c>
      <c r="L11" s="41">
        <v>500</v>
      </c>
      <c r="M11" s="41">
        <v>500</v>
      </c>
      <c r="N11" s="41">
        <v>500</v>
      </c>
      <c r="O11" s="41">
        <v>500</v>
      </c>
      <c r="Q11" s="7">
        <f t="shared" si="1"/>
        <v>1500</v>
      </c>
      <c r="R11" s="7">
        <f t="shared" si="2"/>
        <v>1500</v>
      </c>
      <c r="S11" s="7">
        <f t="shared" si="3"/>
        <v>1500</v>
      </c>
      <c r="T11" s="7">
        <f t="shared" si="4"/>
        <v>1500</v>
      </c>
      <c r="V11" s="7">
        <f t="shared" si="5"/>
        <v>6000</v>
      </c>
    </row>
    <row r="12" spans="3:22" x14ac:dyDescent="0.2">
      <c r="C12" s="28" t="s">
        <v>284</v>
      </c>
      <c r="D12" s="41">
        <v>200</v>
      </c>
      <c r="E12" s="41">
        <v>150</v>
      </c>
      <c r="F12" s="41">
        <v>100</v>
      </c>
      <c r="G12" s="41">
        <v>100</v>
      </c>
      <c r="H12" s="41">
        <v>100</v>
      </c>
      <c r="I12" s="41">
        <v>100</v>
      </c>
      <c r="J12" s="41">
        <v>100</v>
      </c>
      <c r="K12" s="41">
        <v>100</v>
      </c>
      <c r="L12" s="41">
        <v>100</v>
      </c>
      <c r="M12" s="41">
        <v>100</v>
      </c>
      <c r="N12" s="41">
        <v>100</v>
      </c>
      <c r="O12" s="41">
        <v>100</v>
      </c>
      <c r="Q12" s="7">
        <f t="shared" si="1"/>
        <v>450</v>
      </c>
      <c r="R12" s="7">
        <f t="shared" si="2"/>
        <v>300</v>
      </c>
      <c r="S12" s="7">
        <f t="shared" si="3"/>
        <v>300</v>
      </c>
      <c r="T12" s="7">
        <f t="shared" si="4"/>
        <v>300</v>
      </c>
      <c r="V12" s="7">
        <f t="shared" si="5"/>
        <v>1350</v>
      </c>
    </row>
    <row r="13" spans="3:22" x14ac:dyDescent="0.2">
      <c r="C13" s="28" t="s">
        <v>285</v>
      </c>
      <c r="D13" s="41">
        <v>500</v>
      </c>
      <c r="E13" s="41">
        <v>400</v>
      </c>
      <c r="F13" s="41">
        <v>400</v>
      </c>
      <c r="G13" s="41">
        <v>400</v>
      </c>
      <c r="H13" s="41">
        <v>400</v>
      </c>
      <c r="I13" s="41">
        <v>400</v>
      </c>
      <c r="J13" s="41">
        <v>400</v>
      </c>
      <c r="K13" s="41">
        <v>400</v>
      </c>
      <c r="L13" s="41">
        <v>400</v>
      </c>
      <c r="M13" s="41">
        <v>400</v>
      </c>
      <c r="N13" s="41">
        <v>400</v>
      </c>
      <c r="O13" s="41">
        <v>400</v>
      </c>
      <c r="Q13" s="7">
        <f t="shared" si="1"/>
        <v>1300</v>
      </c>
      <c r="R13" s="7">
        <f t="shared" si="2"/>
        <v>1200</v>
      </c>
      <c r="S13" s="7">
        <f t="shared" si="3"/>
        <v>1200</v>
      </c>
      <c r="T13" s="7">
        <f t="shared" si="4"/>
        <v>1200</v>
      </c>
      <c r="V13" s="7">
        <f t="shared" si="5"/>
        <v>4900</v>
      </c>
    </row>
    <row r="14" spans="3:22" x14ac:dyDescent="0.2">
      <c r="C14" s="17" t="s">
        <v>286</v>
      </c>
      <c r="D14" s="18">
        <f t="shared" ref="D14:O14" si="6">SUM(D7:D13)</f>
        <v>12400</v>
      </c>
      <c r="E14" s="18">
        <f t="shared" si="6"/>
        <v>12250</v>
      </c>
      <c r="F14" s="18">
        <f t="shared" si="6"/>
        <v>12200</v>
      </c>
      <c r="G14" s="18">
        <f t="shared" si="6"/>
        <v>12200</v>
      </c>
      <c r="H14" s="18">
        <f t="shared" si="6"/>
        <v>12200</v>
      </c>
      <c r="I14" s="18">
        <f t="shared" si="6"/>
        <v>12200</v>
      </c>
      <c r="J14" s="18">
        <f t="shared" si="6"/>
        <v>12200</v>
      </c>
      <c r="K14" s="18">
        <f t="shared" si="6"/>
        <v>12200</v>
      </c>
      <c r="L14" s="18">
        <f t="shared" si="6"/>
        <v>12200</v>
      </c>
      <c r="M14" s="18">
        <f t="shared" si="6"/>
        <v>12200</v>
      </c>
      <c r="N14" s="18">
        <f t="shared" si="6"/>
        <v>12200</v>
      </c>
      <c r="O14" s="18">
        <f t="shared" si="6"/>
        <v>12200</v>
      </c>
      <c r="Q14" s="18">
        <f>SUM(Q7:Q13)</f>
        <v>36850</v>
      </c>
      <c r="R14" s="18">
        <f>SUM(R7:R13)</f>
        <v>36600</v>
      </c>
      <c r="S14" s="18">
        <f>SUM(S7:S13)</f>
        <v>36600</v>
      </c>
      <c r="T14" s="18">
        <f>SUM(T7:T13)</f>
        <v>36600</v>
      </c>
      <c r="V14" s="18">
        <f>SUM(V7:V13)</f>
        <v>146650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A16A-8600-454A-9854-CB6C35E41B7A}">
  <sheetPr>
    <tabColor theme="1" tint="0.499984740745262"/>
  </sheetPr>
  <dimension ref="C2:W27"/>
  <sheetViews>
    <sheetView showGridLines="0" topLeftCell="D1" workbookViewId="0">
      <selection activeCell="G26" sqref="G26"/>
    </sheetView>
  </sheetViews>
  <sheetFormatPr baseColWidth="10" defaultColWidth="8.83203125" defaultRowHeight="14" x14ac:dyDescent="0.2"/>
  <cols>
    <col min="1" max="2" width="3.6640625" style="1" customWidth="1"/>
    <col min="3" max="3" width="36" style="1" customWidth="1"/>
    <col min="4" max="4" width="29.6640625" style="28" bestFit="1" customWidth="1"/>
    <col min="5" max="16" width="10.6640625" style="1" customWidth="1"/>
    <col min="17" max="17" width="3.6640625" style="1" customWidth="1"/>
    <col min="18" max="21" width="10.6640625" style="1" customWidth="1"/>
    <col min="22" max="22" width="3.6640625" style="1" customWidth="1"/>
    <col min="23" max="23" width="10.6640625" style="1" customWidth="1"/>
    <col min="24" max="25" width="3.6640625" style="1" customWidth="1"/>
    <col min="26" max="16384" width="8.83203125" style="1"/>
  </cols>
  <sheetData>
    <row r="2" spans="3:23" x14ac:dyDescent="0.2">
      <c r="C2" s="27" t="s">
        <v>287</v>
      </c>
      <c r="D2" s="35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</row>
    <row r="3" spans="3:23" x14ac:dyDescent="0.2">
      <c r="C3" s="14" t="s">
        <v>38</v>
      </c>
      <c r="D3" s="36"/>
    </row>
    <row r="4" spans="3:23" ht="6" customHeight="1" x14ac:dyDescent="0.2"/>
    <row r="5" spans="3:23" ht="14" customHeight="1" thickBot="1" x14ac:dyDescent="0.25">
      <c r="C5" s="6" t="s">
        <v>151</v>
      </c>
      <c r="D5" s="37" t="s">
        <v>152</v>
      </c>
      <c r="E5" s="11">
        <v>46023</v>
      </c>
      <c r="F5" s="11">
        <f>EOMONTH(E5,0)+1</f>
        <v>46054</v>
      </c>
      <c r="G5" s="11">
        <f t="shared" ref="G5:P5" si="0">EOMONTH(F5,0)+1</f>
        <v>46082</v>
      </c>
      <c r="H5" s="11">
        <f t="shared" si="0"/>
        <v>46113</v>
      </c>
      <c r="I5" s="11">
        <f t="shared" si="0"/>
        <v>46143</v>
      </c>
      <c r="J5" s="11">
        <f t="shared" si="0"/>
        <v>46174</v>
      </c>
      <c r="K5" s="11">
        <f t="shared" si="0"/>
        <v>46204</v>
      </c>
      <c r="L5" s="11">
        <f t="shared" si="0"/>
        <v>46235</v>
      </c>
      <c r="M5" s="11">
        <f t="shared" si="0"/>
        <v>46266</v>
      </c>
      <c r="N5" s="11">
        <f t="shared" si="0"/>
        <v>46296</v>
      </c>
      <c r="O5" s="11">
        <f t="shared" si="0"/>
        <v>46327</v>
      </c>
      <c r="P5" s="11">
        <f t="shared" si="0"/>
        <v>46357</v>
      </c>
      <c r="R5" s="20" t="s">
        <v>3</v>
      </c>
      <c r="S5" s="20" t="s">
        <v>4</v>
      </c>
      <c r="T5" s="20" t="s">
        <v>5</v>
      </c>
      <c r="U5" s="20" t="s">
        <v>6</v>
      </c>
      <c r="W5" s="20" t="s">
        <v>7</v>
      </c>
    </row>
    <row r="6" spans="3:23" ht="6" customHeight="1" x14ac:dyDescent="0.2"/>
    <row r="7" spans="3:23" x14ac:dyDescent="0.2">
      <c r="C7" s="28" t="s">
        <v>288</v>
      </c>
      <c r="D7" s="38" t="s">
        <v>288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R7" s="7">
        <f t="shared" ref="R7:R15" si="1">SUM(E7:G7)</f>
        <v>0</v>
      </c>
      <c r="S7" s="7">
        <f t="shared" ref="S7:S15" si="2">SUM(H7:J7)</f>
        <v>0</v>
      </c>
      <c r="T7" s="7">
        <f t="shared" ref="T7:T15" si="3">SUM(K7:M7)</f>
        <v>0</v>
      </c>
      <c r="U7" s="7">
        <f t="shared" ref="U7:U15" si="4">SUM(N7:P7)</f>
        <v>0</v>
      </c>
      <c r="W7" s="7">
        <f t="shared" ref="W7:W15" si="5">SUM(R7:U7)</f>
        <v>0</v>
      </c>
    </row>
    <row r="8" spans="3:23" x14ac:dyDescent="0.2">
      <c r="C8" s="28" t="s">
        <v>289</v>
      </c>
      <c r="D8" s="38" t="s">
        <v>290</v>
      </c>
      <c r="E8" s="41">
        <v>20</v>
      </c>
      <c r="F8" s="41">
        <v>20</v>
      </c>
      <c r="G8" s="41">
        <v>20</v>
      </c>
      <c r="H8" s="41">
        <v>20</v>
      </c>
      <c r="I8" s="41">
        <v>20</v>
      </c>
      <c r="J8" s="41">
        <v>20</v>
      </c>
      <c r="K8" s="41">
        <v>20</v>
      </c>
      <c r="L8" s="41">
        <v>20</v>
      </c>
      <c r="M8" s="41">
        <v>20</v>
      </c>
      <c r="N8" s="41">
        <v>20</v>
      </c>
      <c r="O8" s="41">
        <v>20</v>
      </c>
      <c r="P8" s="41">
        <v>20</v>
      </c>
      <c r="R8" s="7">
        <f t="shared" si="1"/>
        <v>60</v>
      </c>
      <c r="S8" s="7">
        <f t="shared" si="2"/>
        <v>60</v>
      </c>
      <c r="T8" s="7">
        <f t="shared" si="3"/>
        <v>60</v>
      </c>
      <c r="U8" s="7">
        <f t="shared" si="4"/>
        <v>60</v>
      </c>
      <c r="W8" s="7">
        <f t="shared" si="5"/>
        <v>240</v>
      </c>
    </row>
    <row r="9" spans="3:23" x14ac:dyDescent="0.2">
      <c r="C9" s="28" t="s">
        <v>291</v>
      </c>
      <c r="D9" s="38" t="s">
        <v>292</v>
      </c>
      <c r="E9" s="41">
        <v>20</v>
      </c>
      <c r="F9" s="41">
        <v>20</v>
      </c>
      <c r="G9" s="41">
        <v>20</v>
      </c>
      <c r="H9" s="41">
        <v>20</v>
      </c>
      <c r="I9" s="41">
        <v>20</v>
      </c>
      <c r="J9" s="41">
        <v>20</v>
      </c>
      <c r="K9" s="41">
        <v>20</v>
      </c>
      <c r="L9" s="41">
        <v>20</v>
      </c>
      <c r="M9" s="41">
        <v>20</v>
      </c>
      <c r="N9" s="41">
        <v>20</v>
      </c>
      <c r="O9" s="41">
        <v>20</v>
      </c>
      <c r="P9" s="41">
        <v>20</v>
      </c>
      <c r="R9" s="7">
        <f t="shared" si="1"/>
        <v>60</v>
      </c>
      <c r="S9" s="7">
        <f t="shared" si="2"/>
        <v>60</v>
      </c>
      <c r="T9" s="7">
        <f t="shared" si="3"/>
        <v>60</v>
      </c>
      <c r="U9" s="7">
        <f t="shared" si="4"/>
        <v>60</v>
      </c>
      <c r="W9" s="7">
        <f t="shared" si="5"/>
        <v>240</v>
      </c>
    </row>
    <row r="10" spans="3:23" x14ac:dyDescent="0.2">
      <c r="C10" s="38" t="s">
        <v>293</v>
      </c>
      <c r="D10" s="38" t="s">
        <v>292</v>
      </c>
      <c r="E10" s="41">
        <v>0</v>
      </c>
      <c r="F10" s="41">
        <v>498</v>
      </c>
      <c r="G10" s="41">
        <v>0</v>
      </c>
      <c r="H10" s="41">
        <v>0</v>
      </c>
      <c r="I10" s="41">
        <v>0</v>
      </c>
      <c r="J10" s="41">
        <v>0</v>
      </c>
      <c r="K10" s="41">
        <v>597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R10" s="7">
        <f t="shared" ref="R10" si="6">SUM(E10:G10)</f>
        <v>498</v>
      </c>
      <c r="S10" s="7">
        <f t="shared" ref="S10" si="7">SUM(H10:J10)</f>
        <v>0</v>
      </c>
      <c r="T10" s="7">
        <f t="shared" ref="T10" si="8">SUM(K10:M10)</f>
        <v>597</v>
      </c>
      <c r="U10" s="7">
        <f t="shared" ref="U10" si="9">SUM(N10:P10)</f>
        <v>0</v>
      </c>
      <c r="W10" s="7">
        <f t="shared" ref="W10" si="10">SUM(R10:U10)</f>
        <v>1095</v>
      </c>
    </row>
    <row r="11" spans="3:23" x14ac:dyDescent="0.2">
      <c r="C11" s="28" t="s">
        <v>294</v>
      </c>
      <c r="D11" s="38" t="s">
        <v>292</v>
      </c>
      <c r="E11" s="41">
        <v>0</v>
      </c>
      <c r="F11" s="41">
        <v>500</v>
      </c>
      <c r="G11" s="41">
        <v>500</v>
      </c>
      <c r="H11" s="41">
        <v>500</v>
      </c>
      <c r="I11" s="41">
        <v>0</v>
      </c>
      <c r="J11" s="41">
        <v>0</v>
      </c>
      <c r="K11" s="41">
        <v>0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R11" s="7">
        <f t="shared" si="1"/>
        <v>1000</v>
      </c>
      <c r="S11" s="7">
        <f t="shared" si="2"/>
        <v>500</v>
      </c>
      <c r="T11" s="7">
        <f t="shared" si="3"/>
        <v>0</v>
      </c>
      <c r="U11" s="7">
        <f t="shared" si="4"/>
        <v>0</v>
      </c>
      <c r="W11" s="7">
        <f t="shared" si="5"/>
        <v>1500</v>
      </c>
    </row>
    <row r="12" spans="3:23" x14ac:dyDescent="0.2">
      <c r="C12" s="28" t="s">
        <v>295</v>
      </c>
      <c r="D12" s="38" t="s">
        <v>292</v>
      </c>
      <c r="E12" s="41">
        <v>40</v>
      </c>
      <c r="F12" s="41">
        <v>40</v>
      </c>
      <c r="G12" s="41">
        <v>40</v>
      </c>
      <c r="H12" s="41">
        <v>40</v>
      </c>
      <c r="I12" s="41">
        <v>40</v>
      </c>
      <c r="J12" s="41">
        <v>40</v>
      </c>
      <c r="K12" s="41">
        <v>40</v>
      </c>
      <c r="L12" s="41">
        <v>40</v>
      </c>
      <c r="M12" s="41">
        <v>40</v>
      </c>
      <c r="N12" s="41">
        <v>40</v>
      </c>
      <c r="O12" s="41">
        <v>40</v>
      </c>
      <c r="P12" s="41">
        <v>40</v>
      </c>
      <c r="R12" s="7">
        <f t="shared" si="1"/>
        <v>120</v>
      </c>
      <c r="S12" s="7">
        <f t="shared" si="2"/>
        <v>120</v>
      </c>
      <c r="T12" s="7">
        <f t="shared" si="3"/>
        <v>120</v>
      </c>
      <c r="U12" s="7">
        <f t="shared" si="4"/>
        <v>120</v>
      </c>
      <c r="W12" s="7">
        <f t="shared" si="5"/>
        <v>480</v>
      </c>
    </row>
    <row r="13" spans="3:23" x14ac:dyDescent="0.2">
      <c r="C13" s="28" t="s">
        <v>296</v>
      </c>
      <c r="D13" s="38" t="s">
        <v>292</v>
      </c>
      <c r="E13" s="41">
        <v>30</v>
      </c>
      <c r="F13" s="41">
        <v>30</v>
      </c>
      <c r="G13" s="41">
        <v>30</v>
      </c>
      <c r="H13" s="41">
        <v>30</v>
      </c>
      <c r="I13" s="41">
        <v>30</v>
      </c>
      <c r="J13" s="41">
        <v>30</v>
      </c>
      <c r="K13" s="41">
        <v>30</v>
      </c>
      <c r="L13" s="41">
        <v>30</v>
      </c>
      <c r="M13" s="41">
        <v>30</v>
      </c>
      <c r="N13" s="41">
        <v>30</v>
      </c>
      <c r="O13" s="41">
        <v>30</v>
      </c>
      <c r="P13" s="41">
        <v>30</v>
      </c>
      <c r="R13" s="7">
        <f t="shared" si="1"/>
        <v>90</v>
      </c>
      <c r="S13" s="7">
        <f t="shared" si="2"/>
        <v>90</v>
      </c>
      <c r="T13" s="7">
        <f t="shared" si="3"/>
        <v>90</v>
      </c>
      <c r="U13" s="7">
        <f t="shared" si="4"/>
        <v>90</v>
      </c>
      <c r="W13" s="7">
        <f t="shared" si="5"/>
        <v>360</v>
      </c>
    </row>
    <row r="14" spans="3:23" x14ac:dyDescent="0.2">
      <c r="C14" s="28" t="s">
        <v>297</v>
      </c>
      <c r="D14" s="38" t="s">
        <v>292</v>
      </c>
      <c r="E14" s="41">
        <v>0</v>
      </c>
      <c r="F14" s="41">
        <v>0</v>
      </c>
      <c r="G14" s="41">
        <v>100</v>
      </c>
      <c r="H14" s="41">
        <v>0</v>
      </c>
      <c r="I14" s="41">
        <v>0</v>
      </c>
      <c r="J14" s="41">
        <v>0</v>
      </c>
      <c r="K14" s="41">
        <v>0</v>
      </c>
      <c r="L14" s="41">
        <v>0</v>
      </c>
      <c r="M14" s="41">
        <v>0</v>
      </c>
      <c r="N14" s="41">
        <v>0</v>
      </c>
      <c r="O14" s="41">
        <v>0</v>
      </c>
      <c r="P14" s="41">
        <v>0</v>
      </c>
      <c r="R14" s="7">
        <f>SUM(E14:H14)</f>
        <v>100</v>
      </c>
      <c r="S14" s="7">
        <f t="shared" si="2"/>
        <v>0</v>
      </c>
      <c r="T14" s="7">
        <f t="shared" si="3"/>
        <v>0</v>
      </c>
      <c r="U14" s="7">
        <f t="shared" si="4"/>
        <v>0</v>
      </c>
      <c r="W14" s="7">
        <f t="shared" si="5"/>
        <v>100</v>
      </c>
    </row>
    <row r="15" spans="3:23" x14ac:dyDescent="0.2">
      <c r="C15" s="28" t="s">
        <v>298</v>
      </c>
      <c r="D15" s="38" t="s">
        <v>292</v>
      </c>
      <c r="E15" s="41">
        <v>25</v>
      </c>
      <c r="F15" s="41">
        <v>25</v>
      </c>
      <c r="G15" s="41">
        <v>25</v>
      </c>
      <c r="H15" s="41">
        <v>25</v>
      </c>
      <c r="I15" s="41">
        <v>25</v>
      </c>
      <c r="J15" s="41">
        <v>25</v>
      </c>
      <c r="K15" s="41">
        <v>25</v>
      </c>
      <c r="L15" s="41">
        <v>25</v>
      </c>
      <c r="M15" s="41">
        <v>25</v>
      </c>
      <c r="N15" s="41">
        <v>25</v>
      </c>
      <c r="O15" s="41">
        <v>25</v>
      </c>
      <c r="P15" s="41">
        <v>25</v>
      </c>
      <c r="R15" s="7">
        <f t="shared" si="1"/>
        <v>75</v>
      </c>
      <c r="S15" s="7">
        <f t="shared" si="2"/>
        <v>75</v>
      </c>
      <c r="T15" s="7">
        <f t="shared" si="3"/>
        <v>75</v>
      </c>
      <c r="U15" s="7">
        <f t="shared" si="4"/>
        <v>75</v>
      </c>
      <c r="W15" s="7">
        <f t="shared" si="5"/>
        <v>300</v>
      </c>
    </row>
    <row r="16" spans="3:23" x14ac:dyDescent="0.2">
      <c r="C16" s="28" t="s">
        <v>299</v>
      </c>
      <c r="D16" s="38" t="s">
        <v>300</v>
      </c>
      <c r="E16" s="41">
        <v>409</v>
      </c>
      <c r="F16" s="41">
        <v>409</v>
      </c>
      <c r="G16" s="41">
        <v>409</v>
      </c>
      <c r="H16" s="41">
        <v>409</v>
      </c>
      <c r="I16" s="41">
        <v>409</v>
      </c>
      <c r="J16" s="41">
        <v>409</v>
      </c>
      <c r="K16" s="41">
        <v>409</v>
      </c>
      <c r="L16" s="41">
        <v>409</v>
      </c>
      <c r="M16" s="41">
        <v>409</v>
      </c>
      <c r="N16" s="41">
        <v>409</v>
      </c>
      <c r="O16" s="41">
        <v>409</v>
      </c>
      <c r="P16" s="41">
        <v>409</v>
      </c>
      <c r="R16" s="7">
        <f t="shared" ref="R16:R21" si="11">SUM(E16:G16)</f>
        <v>1227</v>
      </c>
      <c r="S16" s="7">
        <f t="shared" ref="S16:S21" si="12">SUM(H16:J16)</f>
        <v>1227</v>
      </c>
      <c r="T16" s="7">
        <f t="shared" ref="T16:T21" si="13">SUM(K16:M16)</f>
        <v>1227</v>
      </c>
      <c r="U16" s="7">
        <f t="shared" ref="U16:U21" si="14">SUM(N16:P16)</f>
        <v>1227</v>
      </c>
      <c r="W16" s="7">
        <f t="shared" ref="W16:W21" si="15">SUM(R16:U16)</f>
        <v>4908</v>
      </c>
    </row>
    <row r="17" spans="3:23" x14ac:dyDescent="0.2">
      <c r="C17" s="28" t="s">
        <v>301</v>
      </c>
      <c r="D17" s="38" t="s">
        <v>302</v>
      </c>
      <c r="E17" s="41">
        <v>1108</v>
      </c>
      <c r="F17" s="41">
        <v>1108</v>
      </c>
      <c r="G17" s="41">
        <v>1108</v>
      </c>
      <c r="H17" s="41">
        <v>1108</v>
      </c>
      <c r="I17" s="41">
        <v>1108</v>
      </c>
      <c r="J17" s="41">
        <v>1108</v>
      </c>
      <c r="K17" s="41">
        <v>1108</v>
      </c>
      <c r="L17" s="41">
        <v>1108</v>
      </c>
      <c r="M17" s="41">
        <v>1108</v>
      </c>
      <c r="N17" s="41">
        <v>1108</v>
      </c>
      <c r="O17" s="41">
        <v>1108</v>
      </c>
      <c r="P17" s="41">
        <v>1108</v>
      </c>
      <c r="R17" s="7">
        <f t="shared" si="11"/>
        <v>3324</v>
      </c>
      <c r="S17" s="7">
        <f t="shared" si="12"/>
        <v>3324</v>
      </c>
      <c r="T17" s="7">
        <f t="shared" si="13"/>
        <v>3324</v>
      </c>
      <c r="U17" s="7">
        <f t="shared" si="14"/>
        <v>3324</v>
      </c>
      <c r="W17" s="7">
        <f t="shared" si="15"/>
        <v>13296</v>
      </c>
    </row>
    <row r="18" spans="3:23" x14ac:dyDescent="0.2">
      <c r="C18" s="38" t="s">
        <v>303</v>
      </c>
      <c r="D18" s="38" t="s">
        <v>303</v>
      </c>
      <c r="E18" s="41">
        <v>150</v>
      </c>
      <c r="F18" s="41">
        <v>150</v>
      </c>
      <c r="G18" s="41">
        <v>150</v>
      </c>
      <c r="H18" s="41">
        <v>150</v>
      </c>
      <c r="I18" s="41">
        <v>150</v>
      </c>
      <c r="J18" s="41">
        <v>150</v>
      </c>
      <c r="K18" s="41">
        <v>150</v>
      </c>
      <c r="L18" s="41">
        <v>150</v>
      </c>
      <c r="M18" s="41">
        <v>150</v>
      </c>
      <c r="N18" s="41">
        <v>150</v>
      </c>
      <c r="O18" s="41">
        <v>150</v>
      </c>
      <c r="P18" s="41">
        <v>150</v>
      </c>
      <c r="R18" s="7">
        <f t="shared" si="11"/>
        <v>450</v>
      </c>
      <c r="S18" s="7">
        <f t="shared" si="12"/>
        <v>450</v>
      </c>
      <c r="T18" s="7">
        <f t="shared" si="13"/>
        <v>450</v>
      </c>
      <c r="U18" s="7">
        <f t="shared" si="14"/>
        <v>450</v>
      </c>
      <c r="W18" s="7">
        <f t="shared" si="15"/>
        <v>1800</v>
      </c>
    </row>
    <row r="19" spans="3:23" x14ac:dyDescent="0.2">
      <c r="C19" s="38" t="s">
        <v>304</v>
      </c>
      <c r="D19" s="38" t="s">
        <v>304</v>
      </c>
      <c r="E19" s="41">
        <v>0</v>
      </c>
      <c r="F19" s="41">
        <v>0</v>
      </c>
      <c r="G19" s="41">
        <v>0</v>
      </c>
      <c r="H19" s="41">
        <v>500</v>
      </c>
      <c r="I19" s="41">
        <v>500</v>
      </c>
      <c r="J19" s="41">
        <v>500</v>
      </c>
      <c r="K19" s="41">
        <v>500</v>
      </c>
      <c r="L19" s="41">
        <v>500</v>
      </c>
      <c r="M19" s="41">
        <v>500</v>
      </c>
      <c r="N19" s="41">
        <v>500</v>
      </c>
      <c r="O19" s="41">
        <v>500</v>
      </c>
      <c r="P19" s="41">
        <v>500</v>
      </c>
      <c r="R19" s="7">
        <f>SUM(E19:H19)</f>
        <v>500</v>
      </c>
      <c r="S19" s="7">
        <f t="shared" si="12"/>
        <v>1500</v>
      </c>
      <c r="T19" s="7">
        <f t="shared" si="13"/>
        <v>1500</v>
      </c>
      <c r="U19" s="7">
        <f t="shared" si="14"/>
        <v>1500</v>
      </c>
      <c r="W19" s="7">
        <f t="shared" si="15"/>
        <v>5000</v>
      </c>
    </row>
    <row r="20" spans="3:23" x14ac:dyDescent="0.2">
      <c r="C20" s="28" t="s">
        <v>305</v>
      </c>
      <c r="D20" s="38" t="s">
        <v>306</v>
      </c>
      <c r="E20" s="41">
        <v>350</v>
      </c>
      <c r="F20" s="41">
        <v>350</v>
      </c>
      <c r="G20" s="41">
        <v>350</v>
      </c>
      <c r="H20" s="41">
        <v>350</v>
      </c>
      <c r="I20" s="41">
        <v>350</v>
      </c>
      <c r="J20" s="41">
        <v>350</v>
      </c>
      <c r="K20" s="41">
        <v>350</v>
      </c>
      <c r="L20" s="41">
        <v>350</v>
      </c>
      <c r="M20" s="41">
        <v>350</v>
      </c>
      <c r="N20" s="41">
        <v>350</v>
      </c>
      <c r="O20" s="41">
        <v>350</v>
      </c>
      <c r="P20" s="41">
        <v>350</v>
      </c>
      <c r="R20" s="7">
        <f t="shared" si="11"/>
        <v>1050</v>
      </c>
      <c r="S20" s="7">
        <f t="shared" si="12"/>
        <v>1050</v>
      </c>
      <c r="T20" s="7">
        <f t="shared" si="13"/>
        <v>1050</v>
      </c>
      <c r="U20" s="7">
        <f t="shared" si="14"/>
        <v>1050</v>
      </c>
      <c r="W20" s="7">
        <f t="shared" si="15"/>
        <v>4200</v>
      </c>
    </row>
    <row r="21" spans="3:23" x14ac:dyDescent="0.2">
      <c r="C21" s="28" t="s">
        <v>298</v>
      </c>
      <c r="D21" s="38" t="s">
        <v>307</v>
      </c>
      <c r="E21" s="41">
        <v>60</v>
      </c>
      <c r="F21" s="41">
        <v>60</v>
      </c>
      <c r="G21" s="41">
        <v>60</v>
      </c>
      <c r="H21" s="41">
        <v>60</v>
      </c>
      <c r="I21" s="41">
        <v>60</v>
      </c>
      <c r="J21" s="41">
        <v>60</v>
      </c>
      <c r="K21" s="41">
        <v>60</v>
      </c>
      <c r="L21" s="41">
        <v>60</v>
      </c>
      <c r="M21" s="41">
        <v>60</v>
      </c>
      <c r="N21" s="41">
        <v>60</v>
      </c>
      <c r="O21" s="41">
        <v>60</v>
      </c>
      <c r="P21" s="41">
        <v>60</v>
      </c>
      <c r="R21" s="7">
        <f t="shared" si="11"/>
        <v>180</v>
      </c>
      <c r="S21" s="7">
        <f t="shared" si="12"/>
        <v>180</v>
      </c>
      <c r="T21" s="7">
        <f t="shared" si="13"/>
        <v>180</v>
      </c>
      <c r="U21" s="7">
        <f t="shared" si="14"/>
        <v>180</v>
      </c>
      <c r="W21" s="7">
        <f t="shared" si="15"/>
        <v>720</v>
      </c>
    </row>
    <row r="22" spans="3:23" x14ac:dyDescent="0.2">
      <c r="C22" s="17" t="s">
        <v>308</v>
      </c>
      <c r="D22" s="12"/>
      <c r="E22" s="18">
        <f t="shared" ref="E22:P22" si="16">SUM(E7:E21)</f>
        <v>2212</v>
      </c>
      <c r="F22" s="18">
        <f t="shared" si="16"/>
        <v>3210</v>
      </c>
      <c r="G22" s="18">
        <f t="shared" si="16"/>
        <v>2812</v>
      </c>
      <c r="H22" s="18">
        <f t="shared" si="16"/>
        <v>3212</v>
      </c>
      <c r="I22" s="18">
        <f t="shared" si="16"/>
        <v>2712</v>
      </c>
      <c r="J22" s="18">
        <f t="shared" si="16"/>
        <v>2712</v>
      </c>
      <c r="K22" s="18">
        <f t="shared" si="16"/>
        <v>3309</v>
      </c>
      <c r="L22" s="18">
        <f t="shared" si="16"/>
        <v>2712</v>
      </c>
      <c r="M22" s="18">
        <f t="shared" si="16"/>
        <v>2712</v>
      </c>
      <c r="N22" s="18">
        <f t="shared" si="16"/>
        <v>2712</v>
      </c>
      <c r="O22" s="18">
        <f t="shared" si="16"/>
        <v>2712</v>
      </c>
      <c r="P22" s="18">
        <f t="shared" si="16"/>
        <v>2712</v>
      </c>
      <c r="R22" s="18">
        <f>SUM(R7:R21)</f>
        <v>8734</v>
      </c>
      <c r="S22" s="18">
        <f>SUM(S7:S21)</f>
        <v>8636</v>
      </c>
      <c r="T22" s="18">
        <f>SUM(T7:T21)</f>
        <v>8733</v>
      </c>
      <c r="U22" s="18">
        <f>SUM(U7:U21)</f>
        <v>8136</v>
      </c>
      <c r="W22" s="18">
        <f>SUM(W7:W21)</f>
        <v>34239</v>
      </c>
    </row>
    <row r="27" spans="3:23" x14ac:dyDescent="0.2">
      <c r="N27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7AE51F9A315D44BA839E31A8F02625" ma:contentTypeVersion="17" ma:contentTypeDescription="Create a new document." ma:contentTypeScope="" ma:versionID="7cf37cca17ca8b2ddea59368cf68c001">
  <xsd:schema xmlns:xsd="http://www.w3.org/2001/XMLSchema" xmlns:xs="http://www.w3.org/2001/XMLSchema" xmlns:p="http://schemas.microsoft.com/office/2006/metadata/properties" xmlns:ns2="32f47748-3166-466c-8ce3-fa1971e2d151" xmlns:ns3="0e2240a2-1676-4925-b7b6-c3db279007d8" targetNamespace="http://schemas.microsoft.com/office/2006/metadata/properties" ma:root="true" ma:fieldsID="0a950b080d6ab065b2c90d55fc4b9cd0" ns2:_="" ns3:_="">
    <xsd:import namespace="32f47748-3166-466c-8ce3-fa1971e2d151"/>
    <xsd:import namespace="0e2240a2-1676-4925-b7b6-c3db279007d8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MediaServiceLocation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47748-3166-466c-8ce3-fa1971e2d151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c02655f0-5c78-46b1-a533-860c1b0cad96}" ma:internalName="TaxCatchAll" ma:showField="CatchAllData" ma:web="32f47748-3166-466c-8ce3-fa1971e2d1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240a2-1676-4925-b7b6-c3db27900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355e66-d242-4ab7-a46d-66a02b95f3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f47748-3166-466c-8ce3-fa1971e2d151" xsi:nil="true"/>
    <lcf76f155ced4ddcb4097134ff3c332f xmlns="0e2240a2-1676-4925-b7b6-c3db279007d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3CF018-7751-4037-873F-5EA2290891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47748-3166-466c-8ce3-fa1971e2d151"/>
    <ds:schemaRef ds:uri="0e2240a2-1676-4925-b7b6-c3db279007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3C72AE-CA65-4BD8-9C0F-D3949F1CF34A}">
  <ds:schemaRefs>
    <ds:schemaRef ds:uri="0e2240a2-1676-4925-b7b6-c3db279007d8"/>
    <ds:schemaRef ds:uri="http://www.w3.org/XML/1998/namespace"/>
    <ds:schemaRef ds:uri="32f47748-3166-466c-8ce3-fa1971e2d151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A0FCB1D-4770-4AE8-A8DB-6B41A8D452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2026 Budget &gt;&gt;&gt;</vt:lpstr>
      <vt:lpstr>P&amp;L</vt:lpstr>
      <vt:lpstr>CF</vt:lpstr>
      <vt:lpstr>Revenue &gt;&gt;&gt;</vt:lpstr>
      <vt:lpstr>Product &amp; Pricing List</vt:lpstr>
      <vt:lpstr>Solution Offering</vt:lpstr>
      <vt:lpstr>Sales Forecast</vt:lpstr>
      <vt:lpstr>CoGS &gt;&gt;&gt;</vt:lpstr>
      <vt:lpstr>Labor</vt:lpstr>
      <vt:lpstr>Third Party Software</vt:lpstr>
      <vt:lpstr>Hosting &amp; Internet Fees</vt:lpstr>
      <vt:lpstr>Other</vt:lpstr>
      <vt:lpstr>OpEx &gt;&gt;&gt;</vt:lpstr>
      <vt:lpstr>Salaries, Wages, &amp; Benefits</vt:lpstr>
      <vt:lpstr>Contract Labor</vt:lpstr>
      <vt:lpstr>Professional Fees</vt:lpstr>
      <vt:lpstr>Office Expenses</vt:lpstr>
      <vt:lpstr>Advertising &amp; Marketing</vt:lpstr>
      <vt:lpstr>Employee Travel</vt:lpstr>
      <vt:lpstr>Other Operating Expenses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Dougherty</dc:creator>
  <cp:keywords/>
  <dc:description/>
  <cp:lastModifiedBy>Brad Levine</cp:lastModifiedBy>
  <cp:revision/>
  <dcterms:created xsi:type="dcterms:W3CDTF">2024-12-03T18:03:32Z</dcterms:created>
  <dcterms:modified xsi:type="dcterms:W3CDTF">2026-03-12T21:19:50Z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0x010100CF7AE51F9A315D44BA839E31A8F02625</vt:lpwstr>
  </property>
  <property fmtid="{D5CDD505-2E9C-101B-9397-08002B2CF9AE}" pid="3" name="MediaServiceImageTags">
    <vt:lpwstr/>
  </property>
</Properties>
</file>